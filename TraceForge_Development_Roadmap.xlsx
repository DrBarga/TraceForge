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bc5b2054d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ashboard" sheetId="1" r:id="R8124d85402984180"/>
    <x:sheet xmlns:r="http://schemas.openxmlformats.org/officeDocument/2006/relationships" name="01 Roadmap" sheetId="2" r:id="Rad4445259f884e7f"/>
    <x:sheet xmlns:r="http://schemas.openxmlformats.org/officeDocument/2006/relationships" name="02 Versions" sheetId="3" r:id="Rbb5de6ab39da490d"/>
    <x:sheet xmlns:r="http://schemas.openxmlformats.org/officeDocument/2006/relationships" name="03 Tech Stack" sheetId="4" r:id="Rfd453960920445db"/>
    <x:sheet xmlns:r="http://schemas.openxmlformats.org/officeDocument/2006/relationships" name="04 Architecture" sheetId="5" r:id="Rb0b9fd56c38b4d1c"/>
    <x:sheet xmlns:r="http://schemas.openxmlformats.org/officeDocument/2006/relationships" name="05 Dev Log" sheetId="6" r:id="Ra2156748167e4b02"/>
    <x:sheet xmlns:r="http://schemas.openxmlformats.org/officeDocument/2006/relationships" name="06 Backlog" sheetId="7" r:id="R097cabbc84b4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375A7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AF0F8"/>
      </x:patternFill>
    </x:fill>
    <x:fill>
      <x:patternFill patternType="solid">
        <x:fgColor rgb="FF375A7F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4D7F5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4D7F5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4d59d82934748" /><Relationship Type="http://schemas.openxmlformats.org/officeDocument/2006/relationships/theme" Target="/xl/theme/theme1.xml" Id="R8508bc91a75f4096" /><Relationship Type="http://schemas.openxmlformats.org/officeDocument/2006/relationships/sharedStrings" Target="/xl/sharedStrings.xml" Id="Rfb0d337765a5448e" /><Relationship Type="http://schemas.openxmlformats.org/officeDocument/2006/relationships/worksheet" Target="/xl/worksheets/sheet1.xml" Id="R8124d85402984180" /><Relationship Type="http://schemas.openxmlformats.org/officeDocument/2006/relationships/worksheet" Target="/xl/worksheets/sheet2.xml" Id="Rad4445259f884e7f" /><Relationship Type="http://schemas.openxmlformats.org/officeDocument/2006/relationships/worksheet" Target="/xl/worksheets/sheet3.xml" Id="Rbb5de6ab39da490d" /><Relationship Type="http://schemas.openxmlformats.org/officeDocument/2006/relationships/worksheet" Target="/xl/worksheets/sheet4.xml" Id="Rfd453960920445db" /><Relationship Type="http://schemas.openxmlformats.org/officeDocument/2006/relationships/worksheet" Target="/xl/worksheets/sheet5.xml" Id="Rb0b9fd56c38b4d1c" /><Relationship Type="http://schemas.openxmlformats.org/officeDocument/2006/relationships/worksheet" Target="/xl/worksheets/sheet6.xml" Id="Ra2156748167e4b02" /><Relationship Type="http://schemas.openxmlformats.org/officeDocument/2006/relationships/worksheet" Target="/xl/worksheets/sheet7.xml" Id="R097cabbc84b44ed0" /></Relationships>
</file>

<file path=xl/tables/table1.xml><?xml version="1.0" encoding="utf-8"?>
<x:table xmlns:x="http://schemas.openxmlformats.org/spreadsheetml/2006/main" id="1" name="RoadmapTable" displayName="RoadmapTable" ref="A1:K59" headerRowCount="1" totalsRowCount="0" totalsRowShown="0">
  <x:tableColumns count="11">
    <x:tableColumn id="1" name="ID"/>
    <x:tableColumn id="2" name="Версия"/>
    <x:tableColumn id="3" name="Этап"/>
    <x:tableColumn id="4" name="Задача"/>
    <x:tableColumn id="5" name="Описание"/>
    <x:tableColumn id="6" name="Технологии"/>
    <x:tableColumn id="7" name="Приоритет"/>
    <x:tableColumn id="8" name="Статус"/>
    <x:tableColumn id="9" name="Зависимости"/>
    <x:tableColumn id="10" name="Результат / Definition of Done"/>
    <x:tableColumn id="11" name="Замет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sionsTable" displayName="VersionsTable" ref="A1:E7" headerRowCount="1" totalsRowCount="0" totalsRowShown="0">
  <x:tableColumns count="5">
    <x:tableColumn id="1" name="Версия"/>
    <x:tableColumn id="2" name="Название"/>
    <x:tableColumn id="3" name="Главная цель"/>
    <x:tableColumn id="4" name="Что входит"/>
    <x:tableColumn id="5" name="Критерий выход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chStackTable" displayName="TechStackTable" ref="A1:E21" headerRowCount="1" totalsRowCount="0" totalsRowShown="0">
  <x:tableColumns count="5">
    <x:tableColumn id="1" name="Слой"/>
    <x:tableColumn id="2" name="Технология"/>
    <x:tableColumn id="3" name="Назначение"/>
    <x:tableColumn id="4" name="Почему используем"/>
    <x:tableColumn id="5" name="С верси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hitectureTable" displayName="ArchitectureTable" ref="A1:D10" headerRowCount="1" totalsRowCount="0" totalsRowShown="0">
  <x:tableColumns count="4">
    <x:tableColumn id="1" name="Компонент"/>
    <x:tableColumn id="2" name="Стек"/>
    <x:tableColumn id="3" name="Ответственность"/>
    <x:tableColumn id="4" name="Связ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vLogTable" displayName="DevLogTable" ref="A1:I31" headerRowCount="1" totalsRowCount="0" totalsRowShown="0">
  <x:tableColumns count="9">
    <x:tableColumn id="1" name="Дата"/>
    <x:tableColumn id="2" name="Версия"/>
    <x:tableColumn id="3" name="Task ID"/>
    <x:tableColumn id="4" name="Что изменили"/>
    <x:tableColumn id="5" name="Статус"/>
    <x:tableColumn id="6" name="Результат"/>
    <x:tableColumn id="7" name="Commit / PR"/>
    <x:tableColumn id="8" name="Проблемы / ошибки"/>
    <x:tableColumn id="9" name="Следующий шаг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cklogTable" displayName="BacklogTable" ref="A1:H6" headerRowCount="1" totalsRowCount="0" totalsRowShown="0">
  <x:tableColumns count="8">
    <x:tableColumn id="1" name="ID"/>
    <x:tableColumn id="2" name="Идея"/>
    <x:tableColumn id="3" name="Категория"/>
    <x:tableColumn id="4" name="Ценность"/>
    <x:tableColumn id="5" name="Приоритет"/>
    <x:tableColumn id="6" name="Целевая версия"/>
    <x:tableColumn id="7" name="Статус"/>
    <x:tableColumn id="8" name="Замет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1bc38e5faf42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09961d1a9c4d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8fbdd6c6314c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87555891d247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8847fdd0eb4a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fb351e87084c2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" hidden="0" customWidth="1"/>
    <x:col min="4" max="4" width="12" hidden="0" customWidth="1"/>
    <x:col min="5" max="5" width="28" hidden="0" customWidth="1"/>
    <x:col min="6" max="6" width="10" hidden="0" customWidth="1"/>
    <x:col min="7" max="7" width="10" hidden="0" customWidth="1"/>
    <x:col min="8" max="8" width="16" hidden="0" customWidth="1"/>
  </x:cols>
  <x:sheetData>
    <x:row r="1">
      <x:c r="A1" s="5" t="str">
        <x:v>TraceForge — Development Control Center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Windows Application Diagnostics Platform • C# + C++ • Visual Studio</x:v>
      </x:c>
      <x:c r="B3" s="12"/>
      <x:c r="C3" s="12"/>
      <x:c r="D3" s="12"/>
      <x:c r="E3" s="12"/>
      <x:c r="F3" s="12"/>
      <x:c r="G3" s="12"/>
      <x:c r="H3" s="12"/>
    </x:row>
    <x:row r="5">
      <x:c r="A5" s="17" t="str">
        <x:v>Показатель</x:v>
      </x:c>
      <x:c r="B5" s="17" t="str">
        <x:v>Значение</x:v>
      </x:c>
      <x:c r="D5" s="17" t="str">
        <x:v>Версия</x:v>
      </x:c>
      <x:c r="E5" s="17" t="str">
        <x:v>Цель</x:v>
      </x:c>
      <x:c r="F5" s="17" t="str">
        <x:v>Задач</x:v>
      </x:c>
      <x:c r="G5" s="17" t="str">
        <x:v>Готово</x:v>
      </x:c>
      <x:c r="H5" s="17" t="str">
        <x:v>Прогресс</x:v>
      </x:c>
    </x:row>
    <x:row r="6">
      <x:c r="A6" t="str">
        <x:v>Всего задач</x:v>
      </x:c>
      <x:c r="B6" t="n">
        <x:f>COUNTA('01 Roadmap'!A2:A59)</x:f>
        <x:v>58</x:v>
      </x:c>
      <x:c r="D6" t="str">
        <x:v>v0.1</x:v>
      </x:c>
      <x:c r="E6" t="str">
        <x:v>Core Monitoring Foundation</x:v>
      </x:c>
      <x:c r="F6" t="n">
        <x:f>COUNTIF('01 Roadmap'!B:B,"v0.1")</x:f>
        <x:v>15</x:v>
      </x:c>
      <x:c r="G6" t="n">
        <x:f>COUNTIFS('01 Roadmap'!B:B,"v0.1",'01 Roadmap'!H:H,"Готово")</x:f>
        <x:v>1</x:v>
      </x:c>
      <x:c r="H6" s="20" t="n">
        <x:f>IF(F6=0,0,G6/F6)</x:f>
        <x:v>0.06666666666666667</x:v>
      </x:c>
    </x:row>
    <x:row r="7">
      <x:c r="A7" t="str">
        <x:v>Готово</x:v>
      </x:c>
      <x:c r="B7" t="n">
        <x:f>COUNTIF('01 Roadmap'!H2:H59,"Готово")</x:f>
        <x:v>1</x:v>
      </x:c>
      <x:c r="D7" t="str">
        <x:v>v0.2</x:v>
      </x:c>
      <x:c r="E7" t="str">
        <x:v>Process Inspector</x:v>
      </x:c>
      <x:c r="F7" t="n">
        <x:f>COUNTIF('01 Roadmap'!B:B,"v0.2")</x:f>
        <x:v>9</x:v>
      </x:c>
      <x:c r="G7" t="n">
        <x:f>COUNTIFS('01 Roadmap'!B:B,"v0.2",'01 Roadmap'!H:H,"Готово")</x:f>
        <x:v>0</x:v>
      </x:c>
      <x:c r="H7" s="20" t="n">
        <x:f>IF(F7=0,0,G7/F7)</x:f>
        <x:v>0</x:v>
      </x:c>
    </x:row>
    <x:row r="8">
      <x:c r="A8" t="str">
        <x:v>В работе</x:v>
      </x:c>
      <x:c r="B8" t="n">
        <x:f>COUNTIF('01 Roadmap'!H2:H59,"В работе")</x:f>
        <x:v>0</x:v>
      </x:c>
      <x:c r="D8" t="str">
        <x:v>v0.3</x:v>
      </x:c>
      <x:c r="E8" t="str">
        <x:v>Crash Diagnostics</x:v>
      </x:c>
      <x:c r="F8" t="n">
        <x:f>COUNTIF('01 Roadmap'!B:B,"v0.3")</x:f>
        <x:v>8</x:v>
      </x:c>
      <x:c r="G8" t="n">
        <x:f>COUNTIFS('01 Roadmap'!B:B,"v0.3",'01 Roadmap'!H:H,"Готово")</x:f>
        <x:v>0</x:v>
      </x:c>
      <x:c r="H8" s="20" t="n">
        <x:f>IF(F8=0,0,G8/F8)</x:f>
        <x:v>0</x:v>
      </x:c>
    </x:row>
    <x:row r="9">
      <x:c r="A9" t="str">
        <x:v>Заблокировано</x:v>
      </x:c>
      <x:c r="B9" t="n">
        <x:f>COUNTIF('01 Roadmap'!H2:H59,"Заблокировано")</x:f>
        <x:v>0</x:v>
      </x:c>
      <x:c r="D9" t="str">
        <x:v>v0.4</x:v>
      </x:c>
      <x:c r="E9" t="str">
        <x:v>Black Box</x:v>
      </x:c>
      <x:c r="F9" t="n">
        <x:f>COUNTIF('01 Roadmap'!B:B,"v0.4")</x:f>
        <x:v>8</x:v>
      </x:c>
      <x:c r="G9" t="n">
        <x:f>COUNTIFS('01 Roadmap'!B:B,"v0.4",'01 Roadmap'!H:H,"Готово")</x:f>
        <x:v>0</x:v>
      </x:c>
      <x:c r="H9" s="20" t="n">
        <x:f>IF(F9=0,0,G9/F9)</x:f>
        <x:v>0</x:v>
      </x:c>
    </x:row>
    <x:row r="10">
      <x:c r="A10" t="str">
        <x:v>Общий прогресс</x:v>
      </x:c>
      <x:c r="B10" s="20" t="n">
        <x:f>IF(B6=0,0,B7/B6)</x:f>
        <x:v>0.017241379310344827</x:v>
      </x:c>
      <x:c r="D10" t="str">
        <x:v>v0.5</x:v>
      </x:c>
      <x:c r="E10" t="str">
        <x:v>AI Diagnostics</x:v>
      </x:c>
      <x:c r="F10" t="n">
        <x:f>COUNTIF('01 Roadmap'!B:B,"v0.5")</x:f>
        <x:v>7</x:v>
      </x:c>
      <x:c r="G10" t="n">
        <x:f>COUNTIFS('01 Roadmap'!B:B,"v0.5",'01 Roadmap'!H:H,"Готово")</x:f>
        <x:v>0</x:v>
      </x:c>
      <x:c r="H10" s="20" t="n">
        <x:f>IF(F10=0,0,G10/F10)</x:f>
        <x:v>0</x:v>
      </x:c>
    </x:row>
    <x:row r="11">
      <x:c r="D11" t="str">
        <x:v>v1.0</x:v>
      </x:c>
      <x:c r="E11" t="str">
        <x:v>Product &amp; Developer Tool</x:v>
      </x:c>
      <x:c r="F11" t="n">
        <x:f>COUNTIF('01 Roadmap'!B:B,"v1.0")</x:f>
        <x:v>11</x:v>
      </x:c>
      <x:c r="G11" t="n">
        <x:f>COUNTIFS('01 Roadmap'!B:B,"v1.0",'01 Roadmap'!H:H,"Готово")</x:f>
        <x:v>0</x:v>
      </x:c>
      <x:c r="H11" s="20" t="n">
        <x:f>IF(F11=0,0,G11/F11)</x:f>
        <x:v>0</x:v>
      </x:c>
    </x:row>
    <x:row r="13">
      <x:c r="A13" s="26" t="str">
        <x:v>Как пользоваться трекером</x:v>
      </x:c>
      <x:c r="B13" s="26" t="str"/>
      <x:c r="C13" s="26" t="str"/>
      <x:c r="D13" s="26" t="str"/>
      <x:c r="E13" s="26" t="str"/>
      <x:c r="F13" s="26" t="str"/>
      <x:c r="G13" s="26" t="str"/>
      <x:c r="H13" s="26" t="str"/>
    </x:row>
    <x:row r="14">
      <x:c r="A14" s="27" t="str">
        <x:v>1.</x:v>
      </x:c>
      <x:c r="B14" s="27" t="str">
        <x:v>Откройте вкладку «01 Roadmap».</x:v>
      </x:c>
      <x:c r="C14" s="27" t="str"/>
      <x:c r="D14" s="27" t="str"/>
      <x:c r="E14" s="27" t="str"/>
      <x:c r="F14" s="27" t="str"/>
      <x:c r="G14" s="27" t="str"/>
      <x:c r="H14" s="27" t="str"/>
    </x:row>
    <x:row r="15">
      <x:c r="A15" s="27" t="str">
        <x:v>2.</x:v>
      </x:c>
      <x:c r="B15" s="27" t="str">
        <x:v>В колонке «Статус» выберите значение из выпадающего списка.</x:v>
      </x:c>
      <x:c r="C15" s="27" t="str"/>
      <x:c r="D15" s="27" t="str"/>
      <x:c r="E15" s="27" t="str"/>
      <x:c r="F15" s="27" t="str"/>
      <x:c r="G15" s="27" t="str"/>
      <x:c r="H15" s="27" t="str"/>
    </x:row>
    <x:row r="16">
      <x:c r="A16" s="27" t="str">
        <x:v>3.</x:v>
      </x:c>
      <x:c r="B16" s="27" t="str">
        <x:v>Строка автоматически меняет цвет: серый — не начато; синий — в работе; фиолетовый — проверка; зеленый — готово; красный — заблокировано; желтый — отложено.</x:v>
      </x:c>
      <x:c r="C16" s="27" t="str"/>
      <x:c r="D16" s="27" t="str"/>
      <x:c r="E16" s="27" t="str"/>
      <x:c r="F16" s="27" t="str"/>
      <x:c r="G16" s="27" t="str"/>
      <x:c r="H16" s="27" t="str"/>
    </x:row>
    <x:row r="17">
      <x:c r="A17" s="27" t="str">
        <x:v>4.</x:v>
      </x:c>
      <x:c r="B17" s="27" t="str">
        <x:v>В «05 Dev Log» после каждой рабочей сессии записывайте изменение, результат, проблемы и следующий шаг.</x:v>
      </x:c>
      <x:c r="C17" s="27" t="str"/>
      <x:c r="D17" s="27" t="str"/>
      <x:c r="E17" s="27" t="str"/>
      <x:c r="F17" s="27" t="str"/>
      <x:c r="G17" s="27" t="str"/>
      <x:c r="H17" s="27" t="str"/>
    </x:row>
    <x:row r="18">
      <x:c r="A18" s="27" t="str">
        <x:v>5.</x:v>
      </x:c>
      <x:c r="B18" s="27" t="str">
        <x:v>Перед новым чатом загружайте Project Brief: там зафиксированы архитектура, версии и правила разработки.</x:v>
      </x:c>
      <x:c r="C18" s="27" t="str"/>
      <x:c r="D18" s="27" t="str"/>
      <x:c r="E18" s="27" t="str"/>
      <x:c r="F18" s="27" t="str"/>
      <x:c r="G18" s="27" t="str"/>
      <x:c r="H18" s="27" t="str"/>
    </x:row>
  </x:sheetData>
  <x:mergeCells>
    <x:mergeCell ref="A1:H2"/>
    <x:mergeCell ref="A3:H3"/>
    <x:mergeCell ref="A13:H13"/>
    <x:mergeCell ref="B14:H14"/>
    <x:mergeCell ref="B15:H15"/>
    <x:mergeCell ref="B16:H16"/>
    <x:mergeCell ref="B17:H17"/>
    <x:mergeCell ref="B18:H18"/>
  </x:mergeCells>
  <x:conditionalFormatting sqref="B10:B10">
    <x:cfRule type="dataBar" priority="1">
      <x:dataBar>
        <x:cfvo type="min"/>
        <x:cfvo type="max"/>
        <x:color rgb="FF4C78A8"/>
      </x:dataBar>
      <x:extLst>
        <x:ext xmlns:x14="http://schemas.microsoft.com/office/spreadsheetml/2009/9/main" uri="{B025F937-C7B1-47D3-B67F-A62EFF666E3E}">
          <x14:id>{EFE71534-F6FD-1EE3-1B87-2F1D6E5A578D}</x14:id>
        </x:ext>
      </x:extLst>
    </x:cfRule>
  </x:conditionalFormatting>
  <x:conditionalFormatting sqref="H6:H11">
    <x:cfRule type="dataBar" priority="2">
      <x:dataBar>
        <x:cfvo type="min"/>
        <x:cfvo type="max"/>
        <x:color rgb="FF4C78A8"/>
      </x:dataBar>
      <x:extLst>
        <x:ext xmlns:x14="http://schemas.microsoft.com/office/spreadsheetml/2009/9/main" uri="{B025F937-C7B1-47D3-B67F-A62EFF666E3E}">
          <x14:id>{7661A467-8EE2-CF6B-A5FC-956FB7454322}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FE71534-F6FD-1EE3-1B87-2F1D6E5A578D}">
            <x14:dataBar gradient="1">
              <x14:cfvo type="min"/>
              <x14:cfvo type="max"/>
              <x14:fillColor rgb="FF4C78A8"/>
            </x14:dataBar>
          </x14:cfRule>
          <xm:sqref>B10:B10</xm:sqref>
        </x14:conditionalFormatting>
        <x14:conditionalFormatting>
          <x14:cfRule type="dataBar" priority="2" id="{7661A467-8EE2-CF6B-A5FC-956FB7454322}">
            <x14:dataBar gradient="1">
              <x14:cfvo type="min"/>
              <x14:cfvo type="max"/>
              <x14:fillColor rgb="FF4C78A8"/>
            </x14:dataBar>
          </x14:cfRule>
          <xm:sqref>H6:H11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12" hidden="0" customWidth="1"/>
    <x:col min="8" max="8" width="16" hidden="0" customWidth="1"/>
    <x:col min="9" max="9" width="18" hidden="0" customWidth="1"/>
    <x:col min="10" max="10" width="34" hidden="0" customWidth="1"/>
    <x:col min="11" max="11" width="28" hidden="0" customWidth="1"/>
  </x:cols>
  <x:sheetData>
    <x:row r="1">
      <x:c r="A1" s="32" t="str">
        <x:v>ID</x:v>
      </x:c>
      <x:c r="B1" s="32" t="str">
        <x:v>Версия</x:v>
      </x:c>
      <x:c r="C1" s="32" t="str">
        <x:v>Этап</x:v>
      </x:c>
      <x:c r="D1" s="32" t="str">
        <x:v>Задача</x:v>
      </x:c>
      <x:c r="E1" s="32" t="str">
        <x:v>Описание</x:v>
      </x:c>
      <x:c r="F1" s="32" t="str">
        <x:v>Технологии</x:v>
      </x:c>
      <x:c r="G1" s="32" t="str">
        <x:v>Приоритет</x:v>
      </x:c>
      <x:c r="H1" s="32" t="str">
        <x:v>Статус</x:v>
      </x:c>
      <x:c r="I1" s="32" t="str">
        <x:v>Зависимости</x:v>
      </x:c>
      <x:c r="J1" s="32" t="str">
        <x:v>Результат / Definition of Done</x:v>
      </x:c>
      <x:c r="K1" s="32" t="str">
        <x:v>Заметки</x:v>
      </x:c>
    </x:row>
    <x:row r="2">
      <x:c r="A2" s="27" t="str">
        <x:v>TF-001</x:v>
      </x:c>
      <x:c r="B2" s="27" t="str">
        <x:v>v0.1</x:v>
      </x:c>
      <x:c r="C2" s="27" t="str">
        <x:v>Foundation</x:v>
      </x:c>
      <x:c r="D2" s="27" t="str">
        <x:v>Подготовить Visual Studio</x:v>
      </x:c>
      <x:c r="E2" s="27" t="str">
        <x:v>Проверить рабочие нагрузки .NET Desktop, C++ Desktop и WinUI; создать рабочую папку проекта.</x:v>
      </x:c>
      <x:c r="F2" s="27" t="str">
        <x:v>Visual Studio / Windows SDK</x:v>
      </x:c>
      <x:c r="G2" s="27" t="str">
        <x:v>Высокий</x:v>
      </x:c>
      <x:c r="H2" s="27" t="str">
        <x:v>Готово</x:v>
      </x:c>
      <x:c r="I2" s="27" t="str"/>
      <x:c r="J2" s="27" t="str">
        <x:v>Рабочая среда готова</x:v>
      </x:c>
      <x:c r="K2" s="27" t="str">
        <x:v>По скриншоту основные рабочие нагрузки установлены.</x:v>
      </x:c>
    </x:row>
    <x:row r="3">
      <x:c r="A3" s="27" t="str">
        <x:v>TF-002</x:v>
      </x:c>
      <x:c r="B3" s="27" t="str">
        <x:v>v0.1</x:v>
      </x:c>
      <x:c r="C3" s="27" t="str">
        <x:v>Foundation</x:v>
      </x:c>
      <x:c r="D3" s="27" t="str">
        <x:v>Создать GitHub-репозиторий</x:v>
      </x:c>
      <x:c r="E3" s="27" t="str">
        <x:v>Создать публичный репозиторий TraceForge, README-заглушку, .gitignore и лицензию.</x:v>
      </x:c>
      <x:c r="F3" s="27" t="str">
        <x:v>Git / GitHub</x:v>
      </x:c>
      <x:c r="G3" s="27" t="str">
        <x:v>Высокий</x:v>
      </x:c>
      <x:c r="H3" s="27" t="str">
        <x:v>Не начато</x:v>
      </x:c>
      <x:c r="I3" s="27" t="str">
        <x:v>TF-001</x:v>
      </x:c>
      <x:c r="J3" s="27" t="str">
        <x:v>Публичный репозиторий</x:v>
      </x:c>
      <x:c r="K3" s="27" t="str"/>
    </x:row>
    <x:row r="4">
      <x:c r="A4" s="27" t="str">
        <x:v>TF-003</x:v>
      </x:c>
      <x:c r="B4" s="27" t="str">
        <x:v>v0.1</x:v>
      </x:c>
      <x:c r="C4" s="27" t="str">
        <x:v>Foundation</x:v>
      </x:c>
      <x:c r="D4" s="27" t="str">
        <x:v>Создать TraceForge.sln</x:v>
      </x:c>
      <x:c r="E4" s="27" t="str">
        <x:v>Создать решение Visual Studio и структуру src/tests/docs/assets.</x:v>
      </x:c>
      <x:c r="F4" s="27" t="str">
        <x:v>Visual Studio Solution</x:v>
      </x:c>
      <x:c r="G4" s="27" t="str">
        <x:v>Высокий</x:v>
      </x:c>
      <x:c r="H4" s="27" t="str">
        <x:v>Не начато</x:v>
      </x:c>
      <x:c r="I4" s="27" t="str">
        <x:v>TF-001</x:v>
      </x:c>
      <x:c r="J4" s="27" t="str">
        <x:v>Решение открывается и собирается</x:v>
      </x:c>
      <x:c r="K4" s="27" t="str"/>
    </x:row>
    <x:row r="5">
      <x:c r="A5" s="27" t="str">
        <x:v>TF-004</x:v>
      </x:c>
      <x:c r="B5" s="27" t="str">
        <x:v>v0.1</x:v>
      </x:c>
      <x:c r="C5" s="27" t="str">
        <x:v>Foundation</x:v>
      </x:c>
      <x:c r="D5" s="27" t="str">
        <x:v>Создать TraceForge.App</x:v>
      </x:c>
      <x:c r="E5" s="27" t="str">
        <x:v>C# WinUI 3 desktop-приложение: окно, навигация, базовая тема и MVVM-скелет.</x:v>
      </x:c>
      <x:c r="F5" s="27" t="str">
        <x:v>C# / .NET / WinUI 3</x:v>
      </x:c>
      <x:c r="G5" s="27" t="str">
        <x:v>Высокий</x:v>
      </x:c>
      <x:c r="H5" s="27" t="str">
        <x:v>Не начато</x:v>
      </x:c>
      <x:c r="I5" s="27" t="str">
        <x:v>TF-003</x:v>
      </x:c>
      <x:c r="J5" s="27" t="str">
        <x:v>UI shell запускается</x:v>
      </x:c>
      <x:c r="K5" s="27" t="str"/>
    </x:row>
    <x:row r="6">
      <x:c r="A6" s="27" t="str">
        <x:v>TF-005</x:v>
      </x:c>
      <x:c r="B6" s="27" t="str">
        <x:v>v0.1</x:v>
      </x:c>
      <x:c r="C6" s="27" t="str">
        <x:v>Foundation</x:v>
      </x:c>
      <x:c r="D6" s="27" t="str">
        <x:v>Создать TraceForge.Agent</x:v>
      </x:c>
      <x:c r="E6" s="27" t="str">
        <x:v>Отдельный C++ процесс для системного мониторинга и изоляции low-level логики.</x:v>
      </x:c>
      <x:c r="F6" s="27" t="str">
        <x:v>C++20 / Win32</x:v>
      </x:c>
      <x:c r="G6" s="27" t="str">
        <x:v>Высокий</x:v>
      </x:c>
      <x:c r="H6" s="27" t="str">
        <x:v>Не начато</x:v>
      </x:c>
      <x:c r="I6" s="27" t="str">
        <x:v>TF-003</x:v>
      </x:c>
      <x:c r="J6" s="27" t="str">
        <x:v>Agent запускается отдельно</x:v>
      </x:c>
      <x:c r="K6" s="27" t="str"/>
    </x:row>
    <x:row r="7">
      <x:c r="A7" s="27" t="str">
        <x:v>TF-006</x:v>
      </x:c>
      <x:c r="B7" s="27" t="str">
        <x:v>v0.1</x:v>
      </x:c>
      <x:c r="C7" s="27" t="str">
        <x:v>Architecture</x:v>
      </x:c>
      <x:c r="D7" s="27" t="str">
        <x:v>Определить IPC-контракт</x:v>
      </x:c>
      <x:c r="E7" s="27" t="str">
        <x:v>Локальный Named Pipes канал; length-prefixed UTF-8 JSON сообщения, versioned protocol.</x:v>
      </x:c>
      <x:c r="F7" s="27" t="str">
        <x:v>Named Pipes / JSON</x:v>
      </x:c>
      <x:c r="G7" s="27" t="str">
        <x:v>Высокий</x:v>
      </x:c>
      <x:c r="H7" s="27" t="str">
        <x:v>Не начато</x:v>
      </x:c>
      <x:c r="I7" s="27" t="str">
        <x:v>TF-004, TF-005</x:v>
      </x:c>
      <x:c r="J7" s="27" t="str">
        <x:v>UI и Agent обмениваются ping/pong</x:v>
      </x:c>
      <x:c r="K7" s="27" t="str"/>
    </x:row>
    <x:row r="8">
      <x:c r="A8" s="27" t="str">
        <x:v>TF-007</x:v>
      </x:c>
      <x:c r="B8" s="27" t="str">
        <x:v>v0.1</x:v>
      </x:c>
      <x:c r="C8" s="27" t="str">
        <x:v>Core</x:v>
      </x:c>
      <x:c r="D8" s="27" t="str">
        <x:v>Получить список процессов</x:v>
      </x:c>
      <x:c r="E8" s="27" t="str">
        <x:v>Перечисление процессов Windows с PID, именем, путем и базовыми атрибутами.</x:v>
      </x:c>
      <x:c r="F8" s="27" t="str">
        <x:v>Win32 / Toolhelp32 / PSAPI</x:v>
      </x:c>
      <x:c r="G8" s="27" t="str">
        <x:v>Высокий</x:v>
      </x:c>
      <x:c r="H8" s="27" t="str">
        <x:v>Не начато</x:v>
      </x:c>
      <x:c r="I8" s="27" t="str">
        <x:v>TF-005</x:v>
      </x:c>
      <x:c r="J8" s="27" t="str">
        <x:v>Список процессов из Agent</x:v>
      </x:c>
      <x:c r="K8" s="27" t="str"/>
    </x:row>
    <x:row r="9">
      <x:c r="A9" s="27" t="str">
        <x:v>TF-008</x:v>
      </x:c>
      <x:c r="B9" s="27" t="str">
        <x:v>v0.1</x:v>
      </x:c>
      <x:c r="C9" s="27" t="str">
        <x:v>Core</x:v>
      </x:c>
      <x:c r="D9" s="27" t="str">
        <x:v>Собирать CPU процесса</x:v>
      </x:c>
      <x:c r="E9" s="27" t="str">
        <x:v>Периодический sampling CPU для выбранных процессов; нормализация по ядрам.</x:v>
      </x:c>
      <x:c r="F9" s="27" t="str">
        <x:v>Win32 / PDH or process times</x:v>
      </x:c>
      <x:c r="G9" s="27" t="str">
        <x:v>Высокий</x:v>
      </x:c>
      <x:c r="H9" s="27" t="str">
        <x:v>Не начато</x:v>
      </x:c>
      <x:c r="I9" s="27" t="str">
        <x:v>TF-007</x:v>
      </x:c>
      <x:c r="J9" s="27" t="str">
        <x:v>CPU метрика обновляется в реальном времени</x:v>
      </x:c>
      <x:c r="K9" s="27" t="str"/>
    </x:row>
    <x:row r="10">
      <x:c r="A10" s="27" t="str">
        <x:v>TF-009</x:v>
      </x:c>
      <x:c r="B10" s="27" t="str">
        <x:v>v0.1</x:v>
      </x:c>
      <x:c r="C10" s="27" t="str">
        <x:v>Core</x:v>
      </x:c>
      <x:c r="D10" s="27" t="str">
        <x:v>Собирать RAM процесса</x:v>
      </x:c>
      <x:c r="E10" s="27" t="str">
        <x:v>Working Set, Private Bytes и базовые memory-метрики.</x:v>
      </x:c>
      <x:c r="F10" s="27" t="str">
        <x:v>Win32 / PSAPI</x:v>
      </x:c>
      <x:c r="G10" s="27" t="str">
        <x:v>Высокий</x:v>
      </x:c>
      <x:c r="H10" s="27" t="str">
        <x:v>Не начато</x:v>
      </x:c>
      <x:c r="I10" s="27" t="str">
        <x:v>TF-007</x:v>
      </x:c>
      <x:c r="J10" s="27" t="str">
        <x:v>RAM метрика обновляется</x:v>
      </x:c>
      <x:c r="K10" s="27" t="str"/>
    </x:row>
    <x:row r="11">
      <x:c r="A11" s="27" t="str">
        <x:v>TF-010</x:v>
      </x:c>
      <x:c r="B11" s="27" t="str">
        <x:v>v0.1</x:v>
      </x:c>
      <x:c r="C11" s="27" t="str">
        <x:v>UI</x:v>
      </x:c>
      <x:c r="D11" s="27" t="str">
        <x:v>Dashboard процессов</x:v>
      </x:c>
      <x:c r="E11" s="27" t="str">
        <x:v>Таблица процессов с поиском, CPU, RAM и сортировкой.</x:v>
      </x:c>
      <x:c r="F11" s="27" t="str">
        <x:v>C# / WinUI 3 / MVVM</x:v>
      </x:c>
      <x:c r="G11" s="27" t="str">
        <x:v>Высокий</x:v>
      </x:c>
      <x:c r="H11" s="27" t="str">
        <x:v>Не начато</x:v>
      </x:c>
      <x:c r="I11" s="27" t="str">
        <x:v>TF-006, TF-007, TF-008, TF-009</x:v>
      </x:c>
      <x:c r="J11" s="27" t="str">
        <x:v>Рабочий список процессов в UI</x:v>
      </x:c>
      <x:c r="K11" s="27" t="str"/>
    </x:row>
    <x:row r="12">
      <x:c r="A12" s="27" t="str">
        <x:v>TF-011</x:v>
      </x:c>
      <x:c r="B12" s="27" t="str">
        <x:v>v0.1</x:v>
      </x:c>
      <x:c r="C12" s="27" t="str">
        <x:v>UI</x:v>
      </x:c>
      <x:c r="D12" s="27" t="str">
        <x:v>Страница Process Details</x:v>
      </x:c>
      <x:c r="E12" s="27" t="str">
        <x:v>Карточка выбранного процесса: идентификация, CPU, RAM, состояние и uptime.</x:v>
      </x:c>
      <x:c r="F12" s="27" t="str">
        <x:v>C# / WinUI 3</x:v>
      </x:c>
      <x:c r="G12" s="27" t="str">
        <x:v>Высокий</x:v>
      </x:c>
      <x:c r="H12" s="27" t="str">
        <x:v>Не начато</x:v>
      </x:c>
      <x:c r="I12" s="27" t="str">
        <x:v>TF-010</x:v>
      </x:c>
      <x:c r="J12" s="27" t="str">
        <x:v>Подробная страница процесса</x:v>
      </x:c>
      <x:c r="K12" s="27" t="str"/>
    </x:row>
    <x:row r="13">
      <x:c r="A13" s="27" t="str">
        <x:v>TF-012</x:v>
      </x:c>
      <x:c r="B13" s="27" t="str">
        <x:v>v0.1</x:v>
      </x:c>
      <x:c r="C13" s="27" t="str">
        <x:v>UI</x:v>
      </x:c>
      <x:c r="D13" s="27" t="str">
        <x:v>Realtime-графики</x:v>
      </x:c>
      <x:c r="E13" s="27" t="str">
        <x:v>История CPU/RAM за последние N минут для выбранного процесса.</x:v>
      </x:c>
      <x:c r="F13" s="27" t="str">
        <x:v>WinUI-compatible charts</x:v>
      </x:c>
      <x:c r="G13" s="27" t="str">
        <x:v>Средний</x:v>
      </x:c>
      <x:c r="H13" s="27" t="str">
        <x:v>Не начато</x:v>
      </x:c>
      <x:c r="I13" s="27" t="str">
        <x:v>TF-011</x:v>
      </x:c>
      <x:c r="J13" s="27" t="str">
        <x:v>Два realtime-графика</x:v>
      </x:c>
      <x:c r="K13" s="27" t="str"/>
    </x:row>
    <x:row r="14">
      <x:c r="A14" s="27" t="str">
        <x:v>TF-013</x:v>
      </x:c>
      <x:c r="B14" s="27" t="str">
        <x:v>v0.1</x:v>
      </x:c>
      <x:c r="C14" s="27" t="str">
        <x:v>Data</x:v>
      </x:c>
      <x:c r="D14" s="27" t="str">
        <x:v>Локальное хранение сессий</x:v>
      </x:c>
      <x:c r="E14" s="27" t="str">
        <x:v>SQLite схема для sessions, samples, processes; repository layer.</x:v>
      </x:c>
      <x:c r="F14" s="27" t="str">
        <x:v>SQLite / C#</x:v>
      </x:c>
      <x:c r="G14" s="27" t="str">
        <x:v>Средний</x:v>
      </x:c>
      <x:c r="H14" s="27" t="str">
        <x:v>Не начато</x:v>
      </x:c>
      <x:c r="I14" s="27" t="str">
        <x:v>TF-006</x:v>
      </x:c>
      <x:c r="J14" s="27" t="str">
        <x:v>Метрики сохраняются и читаются</x:v>
      </x:c>
      <x:c r="K14" s="27" t="str"/>
    </x:row>
    <x:row r="15">
      <x:c r="A15" s="27" t="str">
        <x:v>TF-014</x:v>
      </x:c>
      <x:c r="B15" s="27" t="str">
        <x:v>v0.1</x:v>
      </x:c>
      <x:c r="C15" s="27" t="str">
        <x:v>Quality</x:v>
      </x:c>
      <x:c r="D15" s="27" t="str">
        <x:v>Базовые тесты и CI</x:v>
      </x:c>
      <x:c r="E15" s="27" t="str">
        <x:v>xUnit для C#, GoogleTest для C++; Windows CI build.</x:v>
      </x:c>
      <x:c r="F15" s="27" t="str">
        <x:v>xUnit / GoogleTest / GitHub Actions</x:v>
      </x:c>
      <x:c r="G15" s="27" t="str">
        <x:v>Средний</x:v>
      </x:c>
      <x:c r="H15" s="27" t="str">
        <x:v>Не начато</x:v>
      </x:c>
      <x:c r="I15" s="27" t="str">
        <x:v>TF-003</x:v>
      </x:c>
      <x:c r="J15" s="27" t="str">
        <x:v>CI собирает решение</x:v>
      </x:c>
      <x:c r="K15" s="27" t="str"/>
    </x:row>
    <x:row r="16">
      <x:c r="A16" s="27" t="str">
        <x:v>TF-015</x:v>
      </x:c>
      <x:c r="B16" s="27" t="str">
        <x:v>v0.1</x:v>
      </x:c>
      <x:c r="C16" s="27" t="str">
        <x:v>Release</x:v>
      </x:c>
      <x:c r="D16" s="27" t="str">
        <x:v>Выпустить v0.1</x:v>
      </x:c>
      <x:c r="E16" s="27" t="str">
        <x:v>Стабильная debug/release сборка, скриншоты, README, первый GitHub Release.</x:v>
      </x:c>
      <x:c r="F16" s="27" t="str">
        <x:v>GitHub Releases</x:v>
      </x:c>
      <x:c r="G16" s="27" t="str">
        <x:v>Высокий</x:v>
      </x:c>
      <x:c r="H16" s="27" t="str">
        <x:v>Не начато</x:v>
      </x:c>
      <x:c r="I16" s="27" t="str">
        <x:v>TF-004:TF-014</x:v>
      </x:c>
      <x:c r="J16" s="27" t="str">
        <x:v>TraceForge v0.1</x:v>
      </x:c>
      <x:c r="K16" s="27" t="str"/>
    </x:row>
    <x:row r="17">
      <x:c r="A17" s="27" t="str">
        <x:v>TF-020</x:v>
      </x:c>
      <x:c r="B17" s="27" t="str">
        <x:v>v0.2</x:v>
      </x:c>
      <x:c r="C17" s="27" t="str">
        <x:v>Inspector</x:v>
      </x:c>
      <x:c r="D17" s="27" t="str">
        <x:v>Дерево процессов</x:v>
      </x:c>
      <x:c r="E17" s="27" t="str">
        <x:v>Parent/child relationships и переход по дочерним процессам.</x:v>
      </x:c>
      <x:c r="F17" s="27" t="str">
        <x:v>Win32</x:v>
      </x:c>
      <x:c r="G17" s="27" t="str">
        <x:v>Высокий</x:v>
      </x:c>
      <x:c r="H17" s="27" t="str">
        <x:v>Не начато</x:v>
      </x:c>
      <x:c r="I17" s="27" t="str">
        <x:v>v0.1</x:v>
      </x:c>
      <x:c r="J17" s="27" t="str">
        <x:v>Process Tree</x:v>
      </x:c>
      <x:c r="K17" s="27" t="str"/>
    </x:row>
    <x:row r="18">
      <x:c r="A18" s="27" t="str">
        <x:v>TF-021</x:v>
      </x:c>
      <x:c r="B18" s="27" t="str">
        <x:v>v0.2</x:v>
      </x:c>
      <x:c r="C18" s="27" t="str">
        <x:v>Inspector</x:v>
      </x:c>
      <x:c r="D18" s="27" t="str">
        <x:v>Инспектор потоков</x:v>
      </x:c>
      <x:c r="E18" s="27" t="str">
        <x:v>Список threads, TID, CPU time, state где доступно.</x:v>
      </x:c>
      <x:c r="F18" s="27" t="str">
        <x:v>Win32</x:v>
      </x:c>
      <x:c r="G18" s="27" t="str">
        <x:v>Высокий</x:v>
      </x:c>
      <x:c r="H18" s="27" t="str">
        <x:v>Не начато</x:v>
      </x:c>
      <x:c r="I18" s="27" t="str">
        <x:v>v0.1</x:v>
      </x:c>
      <x:c r="J18" s="27" t="str">
        <x:v>Threads tab</x:v>
      </x:c>
      <x:c r="K18" s="27" t="str"/>
    </x:row>
    <x:row r="19">
      <x:c r="A19" s="27" t="str">
        <x:v>TF-022</x:v>
      </x:c>
      <x:c r="B19" s="27" t="str">
        <x:v>v0.2</x:v>
      </x:c>
      <x:c r="C19" s="27" t="str">
        <x:v>Inspector</x:v>
      </x:c>
      <x:c r="D19" s="27" t="str">
        <x:v>Инспектор модулей/DLL</x:v>
      </x:c>
      <x:c r="E19" s="27" t="str">
        <x:v>Загруженные DLL, путь, base address, размер и версия.</x:v>
      </x:c>
      <x:c r="F19" s="27" t="str">
        <x:v>PSAPI / Win32</x:v>
      </x:c>
      <x:c r="G19" s="27" t="str">
        <x:v>Высокий</x:v>
      </x:c>
      <x:c r="H19" s="27" t="str">
        <x:v>Не начато</x:v>
      </x:c>
      <x:c r="I19" s="27" t="str">
        <x:v>v0.1</x:v>
      </x:c>
      <x:c r="J19" s="27" t="str">
        <x:v>Modules tab</x:v>
      </x:c>
      <x:c r="K19" s="27" t="str"/>
    </x:row>
    <x:row r="20">
      <x:c r="A20" s="27" t="str">
        <x:v>TF-023</x:v>
      </x:c>
      <x:c r="B20" s="27" t="str">
        <x:v>v0.2</x:v>
      </x:c>
      <x:c r="C20" s="27" t="str">
        <x:v>Inspector</x:v>
      </x:c>
      <x:c r="D20" s="27" t="str">
        <x:v>Открытые файлы/handles</x:v>
      </x:c>
      <x:c r="E20" s="27" t="str">
        <x:v>Показывать доступные handles и связанные файлы с безопасной обработкой прав.</x:v>
      </x:c>
      <x:c r="F20" s="27" t="str">
        <x:v>Windows Native/Win32 APIs</x:v>
      </x:c>
      <x:c r="G20" s="27" t="str">
        <x:v>Средний</x:v>
      </x:c>
      <x:c r="H20" s="27" t="str">
        <x:v>Не начато</x:v>
      </x:c>
      <x:c r="I20" s="27" t="str">
        <x:v>TF-022</x:v>
      </x:c>
      <x:c r="J20" s="27" t="str">
        <x:v>Handles tab</x:v>
      </x:c>
      <x:c r="K20" s="27" t="str"/>
    </x:row>
    <x:row r="21">
      <x:c r="A21" s="27" t="str">
        <x:v>TF-024</x:v>
      </x:c>
      <x:c r="B21" s="27" t="str">
        <x:v>v0.2</x:v>
      </x:c>
      <x:c r="C21" s="27" t="str">
        <x:v>Inspector</x:v>
      </x:c>
      <x:c r="D21" s="27" t="str">
        <x:v>Сетевые соединения</x:v>
      </x:c>
      <x:c r="E21" s="27" t="str">
        <x:v>TCP/UDP endpoints для процессов: local/remote address, port, state.</x:v>
      </x:c>
      <x:c r="F21" s="27" t="str">
        <x:v>IP Helper API</x:v>
      </x:c>
      <x:c r="G21" s="27" t="str">
        <x:v>Высокий</x:v>
      </x:c>
      <x:c r="H21" s="27" t="str">
        <x:v>Не начато</x:v>
      </x:c>
      <x:c r="I21" s="27" t="str">
        <x:v>v0.1</x:v>
      </x:c>
      <x:c r="J21" s="27" t="str">
        <x:v>Network tab</x:v>
      </x:c>
      <x:c r="K21" s="27" t="str"/>
    </x:row>
    <x:row r="22">
      <x:c r="A22" s="27" t="str">
        <x:v>TF-025</x:v>
      </x:c>
      <x:c r="B22" s="27" t="str">
        <x:v>v0.2</x:v>
      </x:c>
      <x:c r="C22" s="27" t="str">
        <x:v>UX</x:v>
      </x:c>
      <x:c r="D22" s="27" t="str">
        <x:v>Фильтры и быстрый поиск</x:v>
      </x:c>
      <x:c r="E22" s="27" t="str">
        <x:v>Фильтры по имени, PID, CPU/RAM и процессам пользователя.</x:v>
      </x:c>
      <x:c r="F22" s="27" t="str">
        <x:v>C# / WinUI 3</x:v>
      </x:c>
      <x:c r="G22" s="27" t="str">
        <x:v>Средний</x:v>
      </x:c>
      <x:c r="H22" s="27" t="str">
        <x:v>Не начато</x:v>
      </x:c>
      <x:c r="I22" s="27" t="str">
        <x:v>TF-020:TF-024</x:v>
      </x:c>
      <x:c r="J22" s="27" t="str">
        <x:v>Удобный поиск/фильтры</x:v>
      </x:c>
      <x:c r="K22" s="27" t="str"/>
    </x:row>
    <x:row r="23">
      <x:c r="A23" s="27" t="str">
        <x:v>TF-026</x:v>
      </x:c>
      <x:c r="B23" s="27" t="str">
        <x:v>v0.2</x:v>
      </x:c>
      <x:c r="C23" s="27" t="str">
        <x:v>Security</x:v>
      </x:c>
      <x:c r="D23" s="27" t="str">
        <x:v>Обработка прав доступа</x:v>
      </x:c>
      <x:c r="E23" s="27" t="str">
        <x:v>Корректно работать с Access Denied, elevated/non-elevated режимами без падений.</x:v>
      </x:c>
      <x:c r="F23" s="27" t="str">
        <x:v>Windows Security APIs</x:v>
      </x:c>
      <x:c r="G23" s="27" t="str">
        <x:v>Высокий</x:v>
      </x:c>
      <x:c r="H23" s="27" t="str">
        <x:v>Не начато</x:v>
      </x:c>
      <x:c r="I23" s="27" t="str">
        <x:v>TF-020:TF-024</x:v>
      </x:c>
      <x:c r="J23" s="27" t="str">
        <x:v>Graceful permission handling</x:v>
      </x:c>
      <x:c r="K23" s="27" t="str"/>
    </x:row>
    <x:row r="24">
      <x:c r="A24" s="27" t="str">
        <x:v>TF-027</x:v>
      </x:c>
      <x:c r="B24" s="27" t="str">
        <x:v>v0.2</x:v>
      </x:c>
      <x:c r="C24" s="27" t="str">
        <x:v>Export</x:v>
      </x:c>
      <x:c r="D24" s="27" t="str">
        <x:v>Экспорт snapshot</x:v>
      </x:c>
      <x:c r="E24" s="27" t="str">
        <x:v>Экспорт текущего состояния процесса в JSON.</x:v>
      </x:c>
      <x:c r="F24" s="27" t="str">
        <x:v>System.Text.Json / nlohmann/json</x:v>
      </x:c>
      <x:c r="G24" s="27" t="str">
        <x:v>Средний</x:v>
      </x:c>
      <x:c r="H24" s="27" t="str">
        <x:v>Не начато</x:v>
      </x:c>
      <x:c r="I24" s="27" t="str">
        <x:v>TF-020:TF-026</x:v>
      </x:c>
      <x:c r="J24" s="27" t="str">
        <x:v>Snapshot JSON</x:v>
      </x:c>
      <x:c r="K24" s="27" t="str"/>
    </x:row>
    <x:row r="25">
      <x:c r="A25" s="27" t="str">
        <x:v>TF-028</x:v>
      </x:c>
      <x:c r="B25" s="27" t="str">
        <x:v>v0.2</x:v>
      </x:c>
      <x:c r="C25" s="27" t="str">
        <x:v>Release</x:v>
      </x:c>
      <x:c r="D25" s="27" t="str">
        <x:v>Выпустить v0.2</x:v>
      </x:c>
      <x:c r="E25" s="27" t="str">
        <x:v>Документация Inspector, тесты, релиз.</x:v>
      </x:c>
      <x:c r="F25" s="27" t="str">
        <x:v>GitHub Releases</x:v>
      </x:c>
      <x:c r="G25" s="27" t="str">
        <x:v>Высокий</x:v>
      </x:c>
      <x:c r="H25" s="27" t="str">
        <x:v>Не начато</x:v>
      </x:c>
      <x:c r="I25" s="27" t="str">
        <x:v>TF-020:TF-027</x:v>
      </x:c>
      <x:c r="J25" s="27" t="str">
        <x:v>TraceForge v0.2</x:v>
      </x:c>
      <x:c r="K25" s="27" t="str"/>
    </x:row>
    <x:row r="26">
      <x:c r="A26" s="27" t="str">
        <x:v>TF-030</x:v>
      </x:c>
      <x:c r="B26" s="27" t="str">
        <x:v>v0.3</x:v>
      </x:c>
      <x:c r="C26" s="27" t="str">
        <x:v>Crash</x:v>
      </x:c>
      <x:c r="D26" s="27" t="str">
        <x:v>Определять abnormal exit</x:v>
      </x:c>
      <x:c r="E26" s="27" t="str">
        <x:v>Отслеживать завершение monitored process и классифицировать нормальный/аварийный выход.</x:v>
      </x:c>
      <x:c r="F26" s="27" t="str">
        <x:v>Win32</x:v>
      </x:c>
      <x:c r="G26" s="27" t="str">
        <x:v>Высокий</x:v>
      </x:c>
      <x:c r="H26" s="27" t="str">
        <x:v>Не начато</x:v>
      </x:c>
      <x:c r="I26" s="27" t="str">
        <x:v>v0.2</x:v>
      </x:c>
      <x:c r="J26" s="27" t="str">
        <x:v>Crash event</x:v>
      </x:c>
      <x:c r="K26" s="27" t="str"/>
    </x:row>
    <x:row r="27">
      <x:c r="A27" s="27" t="str">
        <x:v>TF-031</x:v>
      </x:c>
      <x:c r="B27" s="27" t="str">
        <x:v>v0.3</x:v>
      </x:c>
      <x:c r="C27" s="27" t="str">
        <x:v>Crash</x:v>
      </x:c>
      <x:c r="D27" s="27" t="str">
        <x:v>Собирать Windows Event Log</x:v>
      </x:c>
      <x:c r="E27" s="27" t="str">
        <x:v>Коррелировать Application Error/WER события с monitored process.</x:v>
      </x:c>
      <x:c r="F27" s="27" t="str">
        <x:v>Windows Event Log</x:v>
      </x:c>
      <x:c r="G27" s="27" t="str">
        <x:v>Высокий</x:v>
      </x:c>
      <x:c r="H27" s="27" t="str">
        <x:v>Не начато</x:v>
      </x:c>
      <x:c r="I27" s="27" t="str">
        <x:v>TF-030</x:v>
      </x:c>
      <x:c r="J27" s="27" t="str">
        <x:v>Event correlation</x:v>
      </x:c>
      <x:c r="K27" s="27" t="str"/>
    </x:row>
    <x:row r="28">
      <x:c r="A28" s="27" t="str">
        <x:v>TF-032</x:v>
      </x:c>
      <x:c r="B28" s="27" t="str">
        <x:v>v0.3</x:v>
      </x:c>
      <x:c r="C28" s="27" t="str">
        <x:v>Crash</x:v>
      </x:c>
      <x:c r="D28" s="27" t="str">
        <x:v>Создавать MiniDump</x:v>
      </x:c>
      <x:c r="E28" s="27" t="str">
        <x:v>Опционально создавать dump при падении/исключении в контролируемом режиме.</x:v>
      </x:c>
      <x:c r="F28" s="27" t="str">
        <x:v>DbgHelp / MiniDumpWriteDump</x:v>
      </x:c>
      <x:c r="G28" s="27" t="str">
        <x:v>Высокий</x:v>
      </x:c>
      <x:c r="H28" s="27" t="str">
        <x:v>Не начато</x:v>
      </x:c>
      <x:c r="I28" s="27" t="str">
        <x:v>TF-030</x:v>
      </x:c>
      <x:c r="J28" s="27" t="str">
        <x:v>*.dmp artifact</x:v>
      </x:c>
      <x:c r="K28" s="27" t="str"/>
    </x:row>
    <x:row r="29">
      <x:c r="A29" s="27" t="str">
        <x:v>TF-033</x:v>
      </x:c>
      <x:c r="B29" s="27" t="str">
        <x:v>v0.3</x:v>
      </x:c>
      <x:c r="C29" s="27" t="str">
        <x:v>Crash</x:v>
      </x:c>
      <x:c r="D29" s="27" t="str">
        <x:v>Разбирать exception/module</x:v>
      </x:c>
      <x:c r="E29" s="27" t="str">
        <x:v>Код исключения, faulting module, addresses и базовая классификация.</x:v>
      </x:c>
      <x:c r="F29" s="27" t="str">
        <x:v>DbgHelp / Win32</x:v>
      </x:c>
      <x:c r="G29" s="27" t="str">
        <x:v>Высокий</x:v>
      </x:c>
      <x:c r="H29" s="27" t="str">
        <x:v>Не начато</x:v>
      </x:c>
      <x:c r="I29" s="27" t="str">
        <x:v>TF-031, TF-032</x:v>
      </x:c>
      <x:c r="J29" s="27" t="str">
        <x:v>Crash summary</x:v>
      </x:c>
      <x:c r="K29" s="27" t="str"/>
    </x:row>
    <x:row r="30">
      <x:c r="A30" s="27" t="str">
        <x:v>TF-034</x:v>
      </x:c>
      <x:c r="B30" s="27" t="str">
        <x:v>v0.3</x:v>
      </x:c>
      <x:c r="C30" s="27" t="str">
        <x:v>Crash</x:v>
      </x:c>
      <x:c r="D30" s="27" t="str">
        <x:v>Symbol resolution</x:v>
      </x:c>
      <x:c r="E30" s="27" t="str">
        <x:v>Поддержка локальных PDB/symbol path, когда символы доступны.</x:v>
      </x:c>
      <x:c r="F30" s="27" t="str">
        <x:v>DbgHelp</x:v>
      </x:c>
      <x:c r="G30" s="27" t="str">
        <x:v>Средний</x:v>
      </x:c>
      <x:c r="H30" s="27" t="str">
        <x:v>Не начато</x:v>
      </x:c>
      <x:c r="I30" s="27" t="str">
        <x:v>TF-033</x:v>
      </x:c>
      <x:c r="J30" s="27" t="str">
        <x:v>Readable stack/symbols</x:v>
      </x:c>
      <x:c r="K30" s="27" t="str"/>
    </x:row>
    <x:row r="31">
      <x:c r="A31" s="27" t="str">
        <x:v>TF-035</x:v>
      </x:c>
      <x:c r="B31" s="27" t="str">
        <x:v>v0.3</x:v>
      </x:c>
      <x:c r="C31" s="27" t="str">
        <x:v>Report</x:v>
      </x:c>
      <x:c r="D31" s="27" t="str">
        <x:v>Diagnostic Report</x:v>
      </x:c>
      <x:c r="E31" s="27" t="str">
        <x:v>Сводка crash, system info, metrics и artifacts; JSON + человекочитаемый HTML.</x:v>
      </x:c>
      <x:c r="F31" s="27" t="str">
        <x:v>C# / HTML / JSON</x:v>
      </x:c>
      <x:c r="G31" s="27" t="str">
        <x:v>Высокий</x:v>
      </x:c>
      <x:c r="H31" s="27" t="str">
        <x:v>Не начато</x:v>
      </x:c>
      <x:c r="I31" s="27" t="str">
        <x:v>TF-033</x:v>
      </x:c>
      <x:c r="J31" s="27" t="str">
        <x:v>Diagnostic report</x:v>
      </x:c>
      <x:c r="K31" s="27" t="str"/>
    </x:row>
    <x:row r="32">
      <x:c r="A32" s="27" t="str">
        <x:v>TF-036</x:v>
      </x:c>
      <x:c r="B32" s="27" t="str">
        <x:v>v0.3</x:v>
      </x:c>
      <x:c r="C32" s="27" t="str">
        <x:v>Data</x:v>
      </x:c>
      <x:c r="D32" s="27" t="str">
        <x:v>Политика хранения</x:v>
      </x:c>
      <x:c r="E32" s="27" t="str">
        <x:v>Retention для dumps/logs, лимиты размера и очистка старых данных.</x:v>
      </x:c>
      <x:c r="F32" s="27" t="str">
        <x:v>SQLite / File System</x:v>
      </x:c>
      <x:c r="G32" s="27" t="str">
        <x:v>Средний</x:v>
      </x:c>
      <x:c r="H32" s="27" t="str">
        <x:v>Не начато</x:v>
      </x:c>
      <x:c r="I32" s="27" t="str">
        <x:v>TF-035</x:v>
      </x:c>
      <x:c r="J32" s="27" t="str">
        <x:v>Storage policy</x:v>
      </x:c>
      <x:c r="K32" s="27" t="str"/>
    </x:row>
    <x:row r="33">
      <x:c r="A33" s="27" t="str">
        <x:v>TF-037</x:v>
      </x:c>
      <x:c r="B33" s="27" t="str">
        <x:v>v0.3</x:v>
      </x:c>
      <x:c r="C33" s="27" t="str">
        <x:v>Release</x:v>
      </x:c>
      <x:c r="D33" s="27" t="str">
        <x:v>Выпустить v0.3</x:v>
      </x:c>
      <x:c r="E33" s="27" t="str">
        <x:v>Crash Diagnostics с тестовыми сценариями падения.</x:v>
      </x:c>
      <x:c r="F33" s="27" t="str">
        <x:v>GitHub Releases</x:v>
      </x:c>
      <x:c r="G33" s="27" t="str">
        <x:v>Высокий</x:v>
      </x:c>
      <x:c r="H33" s="27" t="str">
        <x:v>Не начато</x:v>
      </x:c>
      <x:c r="I33" s="27" t="str">
        <x:v>TF-030:TF-036</x:v>
      </x:c>
      <x:c r="J33" s="27" t="str">
        <x:v>TraceForge v0.3</x:v>
      </x:c>
      <x:c r="K33" s="27" t="str"/>
    </x:row>
    <x:row r="34">
      <x:c r="A34" s="27" t="str">
        <x:v>TF-040</x:v>
      </x:c>
      <x:c r="B34" s="27" t="str">
        <x:v>v0.4</x:v>
      </x:c>
      <x:c r="C34" s="27" t="str">
        <x:v>Black Box</x:v>
      </x:c>
      <x:c r="D34" s="27" t="str">
        <x:v>Ring Buffer событий</x:v>
      </x:c>
      <x:c r="E34" s="27" t="str">
        <x:v>Хранить последние 30–60 секунд критичных metrics/events без постоянной записи всего потока.</x:v>
      </x:c>
      <x:c r="F34" s="27" t="str">
        <x:v>C++ ring buffer</x:v>
      </x:c>
      <x:c r="G34" s="27" t="str">
        <x:v>Высокий</x:v>
      </x:c>
      <x:c r="H34" s="27" t="str">
        <x:v>Не начато</x:v>
      </x:c>
      <x:c r="I34" s="27" t="str">
        <x:v>v0.3</x:v>
      </x:c>
      <x:c r="J34" s="27" t="str">
        <x:v>Rolling event buffer</x:v>
      </x:c>
      <x:c r="K34" s="27" t="str"/>
    </x:row>
    <x:row r="35">
      <x:c r="A35" s="27" t="str">
        <x:v>TF-041</x:v>
      </x:c>
      <x:c r="B35" s="27" t="str">
        <x:v>v0.4</x:v>
      </x:c>
      <x:c r="C35" s="27" t="str">
        <x:v>Black Box</x:v>
      </x:c>
      <x:c r="D35" s="27" t="str">
        <x:v>Event Timeline</x:v>
      </x:c>
      <x:c r="E35" s="27" t="str">
        <x:v>Единая шкала CPU/RAM/threads/modules/network/crash events.</x:v>
      </x:c>
      <x:c r="F35" s="27" t="str">
        <x:v>C++ + C#</x:v>
      </x:c>
      <x:c r="G35" s="27" t="str">
        <x:v>Высокий</x:v>
      </x:c>
      <x:c r="H35" s="27" t="str">
        <x:v>Не начато</x:v>
      </x:c>
      <x:c r="I35" s="27" t="str">
        <x:v>TF-040</x:v>
      </x:c>
      <x:c r="J35" s="27" t="str">
        <x:v>Timeline UI</x:v>
      </x:c>
      <x:c r="K35" s="27" t="str"/>
    </x:row>
    <x:row r="36">
      <x:c r="A36" s="27" t="str">
        <x:v>TF-042</x:v>
      </x:c>
      <x:c r="B36" s="27" t="str">
        <x:v>v0.4</x:v>
      </x:c>
      <x:c r="C36" s="27" t="str">
        <x:v>Black Box</x:v>
      </x:c>
      <x:c r="D36" s="27" t="str">
        <x:v>Hang Detection</x:v>
      </x:c>
      <x:c r="E36" s="27" t="str">
        <x:v>Определять длительное Not Responding/зависание и сохранять pre-hang context.</x:v>
      </x:c>
      <x:c r="F36" s="27" t="str">
        <x:v>Win32</x:v>
      </x:c>
      <x:c r="G36" s="27" t="str">
        <x:v>Высокий</x:v>
      </x:c>
      <x:c r="H36" s="27" t="str">
        <x:v>Не начато</x:v>
      </x:c>
      <x:c r="I36" s="27" t="str">
        <x:v>TF-040</x:v>
      </x:c>
      <x:c r="J36" s="27" t="str">
        <x:v>Hang event</x:v>
      </x:c>
      <x:c r="K36" s="27" t="str"/>
    </x:row>
    <x:row r="37">
      <x:c r="A37" s="27" t="str">
        <x:v>TF-043</x:v>
      </x:c>
      <x:c r="B37" s="27" t="str">
        <x:v>v0.4</x:v>
      </x:c>
      <x:c r="C37" s="27" t="str">
        <x:v>Analysis</x:v>
      </x:c>
      <x:c r="D37" s="27" t="str">
        <x:v>Rule-based anomalies</x:v>
      </x:c>
      <x:c r="E37" s="27" t="str">
        <x:v>Правила: memory spike, CPU saturation, thread explosion, repeated exceptions и др.</x:v>
      </x:c>
      <x:c r="F37" s="27" t="str">
        <x:v>C++ rules engine</x:v>
      </x:c>
      <x:c r="G37" s="27" t="str">
        <x:v>Высокий</x:v>
      </x:c>
      <x:c r="H37" s="27" t="str">
        <x:v>Не начато</x:v>
      </x:c>
      <x:c r="I37" s="27" t="str">
        <x:v>TF-041</x:v>
      </x:c>
      <x:c r="J37" s="27" t="str">
        <x:v>Anomaly events</x:v>
      </x:c>
      <x:c r="K37" s="27" t="str"/>
    </x:row>
    <x:row r="38">
      <x:c r="A38" s="27" t="str">
        <x:v>TF-044</x:v>
      </x:c>
      <x:c r="B38" s="27" t="str">
        <x:v>v0.4</x:v>
      </x:c>
      <x:c r="C38" s="27" t="str">
        <x:v>Black Box</x:v>
      </x:c>
      <x:c r="D38" s="27" t="str">
        <x:v>Freeze snapshot on incident</x:v>
      </x:c>
      <x:c r="E38" s="27" t="str">
        <x:v>При crash/hang фиксировать pre-incident окно и связанные события.</x:v>
      </x:c>
      <x:c r="F38" s="27" t="str">
        <x:v>C++</x:v>
      </x:c>
      <x:c r="G38" s="27" t="str">
        <x:v>Высокий</x:v>
      </x:c>
      <x:c r="H38" s="27" t="str">
        <x:v>Не начато</x:v>
      </x:c>
      <x:c r="I38" s="27" t="str">
        <x:v>TF-040:TF-043</x:v>
      </x:c>
      <x:c r="J38" s="27" t="str">
        <x:v>Incident snapshot</x:v>
      </x:c>
      <x:c r="K38" s="27" t="str"/>
    </x:row>
    <x:row r="39">
      <x:c r="A39" s="27" t="str">
        <x:v>TF-045</x:v>
      </x:c>
      <x:c r="B39" s="27" t="str">
        <x:v>v0.4</x:v>
      </x:c>
      <x:c r="C39" s="27" t="str">
        <x:v>Report</x:v>
      </x:c>
      <x:c r="D39" s="27" t="str">
        <x:v>Black Box Report</x:v>
      </x:c>
      <x:c r="E39" s="27" t="str">
        <x:v>Встроить timeline и anomalies в diagnostic report.</x:v>
      </x:c>
      <x:c r="F39" s="27" t="str">
        <x:v>C#</x:v>
      </x:c>
      <x:c r="G39" s="27" t="str">
        <x:v>Средний</x:v>
      </x:c>
      <x:c r="H39" s="27" t="str">
        <x:v>Не начато</x:v>
      </x:c>
      <x:c r="I39" s="27" t="str">
        <x:v>TF-044</x:v>
      </x:c>
      <x:c r="J39" s="27" t="str">
        <x:v>Enhanced report</x:v>
      </x:c>
      <x:c r="K39" s="27" t="str"/>
    </x:row>
    <x:row r="40">
      <x:c r="A40" s="27" t="str">
        <x:v>TF-046</x:v>
      </x:c>
      <x:c r="B40" s="27" t="str">
        <x:v>v0.4</x:v>
      </x:c>
      <x:c r="C40" s="27" t="str">
        <x:v>Performance</x:v>
      </x:c>
      <x:c r="D40" s="27" t="str">
        <x:v>Оптимизировать overhead</x:v>
      </x:c>
      <x:c r="E40" s="27" t="str">
        <x:v>Проверить, что TraceForge сам не создает заметную нагрузку; измерить sampling cost.</x:v>
      </x:c>
      <x:c r="F40" s="27" t="str">
        <x:v>C++ profiling</x:v>
      </x:c>
      <x:c r="G40" s="27" t="str">
        <x:v>Высокий</x:v>
      </x:c>
      <x:c r="H40" s="27" t="str">
        <x:v>Не начато</x:v>
      </x:c>
      <x:c r="I40" s="27" t="str">
        <x:v>TF-040:TF-045</x:v>
      </x:c>
      <x:c r="J40" s="27" t="str">
        <x:v>Overhead benchmark</x:v>
      </x:c>
      <x:c r="K40" s="27" t="str"/>
    </x:row>
    <x:row r="41">
      <x:c r="A41" s="27" t="str">
        <x:v>TF-047</x:v>
      </x:c>
      <x:c r="B41" s="27" t="str">
        <x:v>v0.4</x:v>
      </x:c>
      <x:c r="C41" s="27" t="str">
        <x:v>Release</x:v>
      </x:c>
      <x:c r="D41" s="27" t="str">
        <x:v>Выпустить v0.4</x:v>
      </x:c>
      <x:c r="E41" s="27" t="str">
        <x:v>Black Box + Hang Detection + anomaly rules.</x:v>
      </x:c>
      <x:c r="F41" s="27" t="str">
        <x:v>GitHub Releases</x:v>
      </x:c>
      <x:c r="G41" s="27" t="str">
        <x:v>Высокий</x:v>
      </x:c>
      <x:c r="H41" s="27" t="str">
        <x:v>Не начато</x:v>
      </x:c>
      <x:c r="I41" s="27" t="str">
        <x:v>TF-040:TF-046</x:v>
      </x:c>
      <x:c r="J41" s="27" t="str">
        <x:v>TraceForge v0.4</x:v>
      </x:c>
      <x:c r="K41" s="27" t="str"/>
    </x:row>
    <x:row r="42">
      <x:c r="A42" s="27" t="str">
        <x:v>TF-050</x:v>
      </x:c>
      <x:c r="B42" s="27" t="str">
        <x:v>v0.5</x:v>
      </x:c>
      <x:c r="C42" s="27" t="str">
        <x:v>AI</x:v>
      </x:c>
      <x:c r="D42" s="27" t="str">
        <x:v>Diagnostic Context Builder</x:v>
      </x:c>
      <x:c r="E42" s="27" t="str">
        <x:v>Собрать безопасный структурированный context из report/timeline/anomalies.</x:v>
      </x:c>
      <x:c r="F42" s="27" t="str">
        <x:v>C# / JSON</x:v>
      </x:c>
      <x:c r="G42" s="27" t="str">
        <x:v>Высокий</x:v>
      </x:c>
      <x:c r="H42" s="27" t="str">
        <x:v>Не начато</x:v>
      </x:c>
      <x:c r="I42" s="27" t="str">
        <x:v>v0.4</x:v>
      </x:c>
      <x:c r="J42" s="27" t="str">
        <x:v>AI-ready context</x:v>
      </x:c>
      <x:c r="K42" s="27" t="str"/>
    </x:row>
    <x:row r="43">
      <x:c r="A43" s="27" t="str">
        <x:v>TF-051</x:v>
      </x:c>
      <x:c r="B43" s="27" t="str">
        <x:v>v0.5</x:v>
      </x:c>
      <x:c r="C43" s="27" t="str">
        <x:v>AI</x:v>
      </x:c>
      <x:c r="D43" s="27" t="str">
        <x:v>Provider abstraction</x:v>
      </x:c>
      <x:c r="E43" s="27" t="str">
        <x:v>Интерфейс AI provider без жесткой привязки к одному API; возможность local/remote adapters.</x:v>
      </x:c>
      <x:c r="F43" s="27" t="str">
        <x:v>C# interfaces</x:v>
      </x:c>
      <x:c r="G43" s="27" t="str">
        <x:v>Высокий</x:v>
      </x:c>
      <x:c r="H43" s="27" t="str">
        <x:v>Не начато</x:v>
      </x:c>
      <x:c r="I43" s="27" t="str">
        <x:v>TF-050</x:v>
      </x:c>
      <x:c r="J43" s="27" t="str">
        <x:v>Pluggable AI layer</x:v>
      </x:c>
      <x:c r="K43" s="27" t="str"/>
    </x:row>
    <x:row r="44">
      <x:c r="A44" s="27" t="str">
        <x:v>TF-052</x:v>
      </x:c>
      <x:c r="B44" s="27" t="str">
        <x:v>v0.5</x:v>
      </x:c>
      <x:c r="C44" s="27" t="str">
        <x:v>AI</x:v>
      </x:c>
      <x:c r="D44" s="27" t="str">
        <x:v>Ask TraceForge</x:v>
      </x:c>
      <x:c r="E44" s="27" t="str">
        <x:v>Вопросы естественным языком: почему упало, что тормозит, что изменилось.</x:v>
      </x:c>
      <x:c r="F44" s="27" t="str">
        <x:v>C# / LLM adapter</x:v>
      </x:c>
      <x:c r="G44" s="27" t="str">
        <x:v>Высокий</x:v>
      </x:c>
      <x:c r="H44" s="27" t="str">
        <x:v>Не начато</x:v>
      </x:c>
      <x:c r="I44" s="27" t="str">
        <x:v>TF-051</x:v>
      </x:c>
      <x:c r="J44" s="27" t="str">
        <x:v>Natural-language diagnostics</x:v>
      </x:c>
      <x:c r="K44" s="27" t="str"/>
    </x:row>
    <x:row r="45">
      <x:c r="A45" s="27" t="str">
        <x:v>TF-053</x:v>
      </x:c>
      <x:c r="B45" s="27" t="str">
        <x:v>v0.5</x:v>
      </x:c>
      <x:c r="C45" s="27" t="str">
        <x:v>AI</x:v>
      </x:c>
      <x:c r="D45" s="27" t="str">
        <x:v>Root-cause explanation</x:v>
      </x:c>
      <x:c r="E45" s="27" t="str">
        <x:v>AI получает только факты/артефакты и объясняет вероятные причины с уровнем уверенности.</x:v>
      </x:c>
      <x:c r="F45" s="27" t="str">
        <x:v>LLM + structured evidence</x:v>
      </x:c>
      <x:c r="G45" s="27" t="str">
        <x:v>Высокий</x:v>
      </x:c>
      <x:c r="H45" s="27" t="str">
        <x:v>Не начато</x:v>
      </x:c>
      <x:c r="I45" s="27" t="str">
        <x:v>TF-052</x:v>
      </x:c>
      <x:c r="J45" s="27" t="str">
        <x:v>Evidence-grounded explanation</x:v>
      </x:c>
      <x:c r="K45" s="27" t="str"/>
    </x:row>
    <x:row r="46">
      <x:c r="A46" s="27" t="str">
        <x:v>TF-054</x:v>
      </x:c>
      <x:c r="B46" s="27" t="str">
        <x:v>v0.5</x:v>
      </x:c>
      <x:c r="C46" s="27" t="str">
        <x:v>AI</x:v>
      </x:c>
      <x:c r="D46" s="27" t="str">
        <x:v>Compare sessions/builds</x:v>
      </x:c>
      <x:c r="E46" s="27" t="str">
        <x:v>Сравнение двух диагностических сессий: startup, RAM, CPU, incidents.</x:v>
      </x:c>
      <x:c r="F46" s="27" t="str">
        <x:v>C# analytics</x:v>
      </x:c>
      <x:c r="G46" s="27" t="str">
        <x:v>Высокий</x:v>
      </x:c>
      <x:c r="H46" s="27" t="str">
        <x:v>Не начато</x:v>
      </x:c>
      <x:c r="I46" s="27" t="str">
        <x:v>TF-050</x:v>
      </x:c>
      <x:c r="J46" s="27" t="str">
        <x:v>Comparison report</x:v>
      </x:c>
      <x:c r="K46" s="27" t="str"/>
    </x:row>
    <x:row r="47">
      <x:c r="A47" s="27" t="str">
        <x:v>TF-055</x:v>
      </x:c>
      <x:c r="B47" s="27" t="str">
        <x:v>v0.5</x:v>
      </x:c>
      <x:c r="C47" s="27" t="str">
        <x:v>Privacy</x:v>
      </x:c>
      <x:c r="D47" s="27" t="str">
        <x:v>Privacy controls</x:v>
      </x:c>
      <x:c r="E47" s="27" t="str">
        <x:v>Показывать что отправляется AI; маскирование путей и пользовательских данных.</x:v>
      </x:c>
      <x:c r="F47" s="27" t="str">
        <x:v>C#</x:v>
      </x:c>
      <x:c r="G47" s="27" t="str">
        <x:v>Высокий</x:v>
      </x:c>
      <x:c r="H47" s="27" t="str">
        <x:v>Не начато</x:v>
      </x:c>
      <x:c r="I47" s="27" t="str">
        <x:v>TF-051</x:v>
      </x:c>
      <x:c r="J47" s="27" t="str">
        <x:v>Privacy settings</x:v>
      </x:c>
      <x:c r="K47" s="27" t="str"/>
    </x:row>
    <x:row r="48">
      <x:c r="A48" s="27" t="str">
        <x:v>TF-056</x:v>
      </x:c>
      <x:c r="B48" s="27" t="str">
        <x:v>v0.5</x:v>
      </x:c>
      <x:c r="C48" s="27" t="str">
        <x:v>Release</x:v>
      </x:c>
      <x:c r="D48" s="27" t="str">
        <x:v>Выпустить v0.5</x:v>
      </x:c>
      <x:c r="E48" s="27" t="str">
        <x:v>AI Diagnostics только после стабильного core/Black Box.</x:v>
      </x:c>
      <x:c r="F48" s="27" t="str">
        <x:v>GitHub Releases</x:v>
      </x:c>
      <x:c r="G48" s="27" t="str">
        <x:v>Высокий</x:v>
      </x:c>
      <x:c r="H48" s="27" t="str">
        <x:v>Не начато</x:v>
      </x:c>
      <x:c r="I48" s="27" t="str">
        <x:v>TF-050:TF-055</x:v>
      </x:c>
      <x:c r="J48" s="27" t="str">
        <x:v>TraceForge v0.5</x:v>
      </x:c>
      <x:c r="K48" s="27" t="str"/>
    </x:row>
    <x:row r="49">
      <x:c r="A49" s="27" t="str">
        <x:v>TF-100</x:v>
      </x:c>
      <x:c r="B49" s="27" t="str">
        <x:v>v1.0</x:v>
      </x:c>
      <x:c r="C49" s="27" t="str">
        <x:v>Developer Mode</x:v>
      </x:c>
      <x:c r="D49" s="27" t="str">
        <x:v>Launch &amp; monitor target</x:v>
      </x:c>
      <x:c r="E49" s="27" t="str">
        <x:v>Запуск приложения из TraceForge с параметрами/working directory и записью сессии.</x:v>
      </x:c>
      <x:c r="F49" s="27" t="str">
        <x:v>C++ / C#</x:v>
      </x:c>
      <x:c r="G49" s="27" t="str">
        <x:v>Высокий</x:v>
      </x:c>
      <x:c r="H49" s="27" t="str">
        <x:v>Не начато</x:v>
      </x:c>
      <x:c r="I49" s="27" t="str">
        <x:v>v0.5</x:v>
      </x:c>
      <x:c r="J49" s="27" t="str">
        <x:v>Developer session</x:v>
      </x:c>
      <x:c r="K49" s="27" t="str"/>
    </x:row>
    <x:row r="50">
      <x:c r="A50" s="27" t="str">
        <x:v>TF-101</x:v>
      </x:c>
      <x:c r="B50" s="27" t="str">
        <x:v>v1.0</x:v>
      </x:c>
      <x:c r="C50" s="27" t="str">
        <x:v>Developer Mode</x:v>
      </x:c>
      <x:c r="D50" s="27" t="str">
        <x:v>Startup profiling</x:v>
      </x:c>
      <x:c r="E50" s="27" t="str">
        <x:v>Время старта, ранние CPU/RAM spikes, modules и child processes.</x:v>
      </x:c>
      <x:c r="F50" s="27" t="str">
        <x:v>C++</x:v>
      </x:c>
      <x:c r="G50" s="27" t="str">
        <x:v>Высокий</x:v>
      </x:c>
      <x:c r="H50" s="27" t="str">
        <x:v>Не начато</x:v>
      </x:c>
      <x:c r="I50" s="27" t="str">
        <x:v>TF-100</x:v>
      </x:c>
      <x:c r="J50" s="27" t="str">
        <x:v>Startup profile</x:v>
      </x:c>
      <x:c r="K50" s="27" t="str"/>
    </x:row>
    <x:row r="51">
      <x:c r="A51" s="27" t="str">
        <x:v>TF-102</x:v>
      </x:c>
      <x:c r="B51" s="27" t="str">
        <x:v>v1.0</x:v>
      </x:c>
      <x:c r="C51" s="27" t="str">
        <x:v>Developer Mode</x:v>
      </x:c>
      <x:c r="D51" s="27" t="str">
        <x:v>Performance budgets</x:v>
      </x:c>
      <x:c r="E51" s="27" t="str">
        <x:v>Пороговые правила для startup/RAM/CPU; pass/fail для regression checks.</x:v>
      </x:c>
      <x:c r="F51" s="27" t="str">
        <x:v>C# analytics</x:v>
      </x:c>
      <x:c r="G51" s="27" t="str">
        <x:v>Средний</x:v>
      </x:c>
      <x:c r="H51" s="27" t="str">
        <x:v>Не начато</x:v>
      </x:c>
      <x:c r="I51" s="27" t="str">
        <x:v>TF-101</x:v>
      </x:c>
      <x:c r="J51" s="27" t="str">
        <x:v>Budget checks</x:v>
      </x:c>
      <x:c r="K51" s="27" t="str"/>
    </x:row>
    <x:row r="52">
      <x:c r="A52" s="27" t="str">
        <x:v>TF-103</x:v>
      </x:c>
      <x:c r="B52" s="27" t="str">
        <x:v>v1.0</x:v>
      </x:c>
      <x:c r="C52" s="27" t="str">
        <x:v>Product</x:v>
      </x:c>
      <x:c r="D52" s="27" t="str">
        <x:v>Installer</x:v>
      </x:c>
      <x:c r="E52" s="27" t="str">
        <x:v>Нормальный Windows installer, shortcuts, uninstall, upgrade path.</x:v>
      </x:c>
      <x:c r="F52" s="27" t="str">
        <x:v>Windows packaging</x:v>
      </x:c>
      <x:c r="G52" s="27" t="str">
        <x:v>Высокий</x:v>
      </x:c>
      <x:c r="H52" s="27" t="str">
        <x:v>Не начато</x:v>
      </x:c>
      <x:c r="I52" s="27" t="str">
        <x:v>v0.5</x:v>
      </x:c>
      <x:c r="J52" s="27" t="str">
        <x:v>Installable app</x:v>
      </x:c>
      <x:c r="K52" s="27" t="str"/>
    </x:row>
    <x:row r="53">
      <x:c r="A53" s="27" t="str">
        <x:v>TF-104</x:v>
      </x:c>
      <x:c r="B53" s="27" t="str">
        <x:v>v1.0</x:v>
      </x:c>
      <x:c r="C53" s="27" t="str">
        <x:v>Product</x:v>
      </x:c>
      <x:c r="D53" s="27" t="str">
        <x:v>Auto-update strategy</x:v>
      </x:c>
      <x:c r="E53" s="27" t="str">
        <x:v>Механизм обновления с rollback-safe подходом.</x:v>
      </x:c>
      <x:c r="F53" s="27" t="str">
        <x:v>Windows packaging / release feed</x:v>
      </x:c>
      <x:c r="G53" s="27" t="str">
        <x:v>Средний</x:v>
      </x:c>
      <x:c r="H53" s="27" t="str">
        <x:v>Не начато</x:v>
      </x:c>
      <x:c r="I53" s="27" t="str">
        <x:v>TF-103</x:v>
      </x:c>
      <x:c r="J53" s="27" t="str">
        <x:v>Update workflow</x:v>
      </x:c>
      <x:c r="K53" s="27" t="str"/>
    </x:row>
    <x:row r="54">
      <x:c r="A54" s="27" t="str">
        <x:v>TF-105</x:v>
      </x:c>
      <x:c r="B54" s="27" t="str">
        <x:v>v1.0</x:v>
      </x:c>
      <x:c r="C54" s="27" t="str">
        <x:v>Product</x:v>
      </x:c>
      <x:c r="D54" s="27" t="str">
        <x:v>Settings &amp; diagnostics</x:v>
      </x:c>
      <x:c r="E54" s="27" t="str">
        <x:v>Настройки sampling/storage/privacy; собственные логи TraceForge.</x:v>
      </x:c>
      <x:c r="F54" s="27" t="str">
        <x:v>C#</x:v>
      </x:c>
      <x:c r="G54" s="27" t="str">
        <x:v>Средний</x:v>
      </x:c>
      <x:c r="H54" s="27" t="str">
        <x:v>Не начато</x:v>
      </x:c>
      <x:c r="I54" s="27" t="str">
        <x:v>v0.5</x:v>
      </x:c>
      <x:c r="J54" s="27" t="str">
        <x:v>Settings</x:v>
      </x:c>
      <x:c r="K54" s="27" t="str"/>
    </x:row>
    <x:row r="55">
      <x:c r="A55" s="27" t="str">
        <x:v>TF-106</x:v>
      </x:c>
      <x:c r="B55" s="27" t="str">
        <x:v>v1.0</x:v>
      </x:c>
      <x:c r="C55" s="27" t="str">
        <x:v>Open Source</x:v>
      </x:c>
      <x:c r="D55" s="27" t="str">
        <x:v>Документация и CONTRIBUTING</x:v>
      </x:c>
      <x:c r="E55" s="27" t="str">
        <x:v>Architecture docs, build instructions, issue templates, contribution guide.</x:v>
      </x:c>
      <x:c r="F55" s="27" t="str">
        <x:v>Markdown / GitHub</x:v>
      </x:c>
      <x:c r="G55" s="27" t="str">
        <x:v>Высокий</x:v>
      </x:c>
      <x:c r="H55" s="27" t="str">
        <x:v>Не начато</x:v>
      </x:c>
      <x:c r="I55" s="27" t="str">
        <x:v>v0.5</x:v>
      </x:c>
      <x:c r="J55" s="27" t="str">
        <x:v>Contributor-ready repo</x:v>
      </x:c>
      <x:c r="K55" s="27" t="str"/>
    </x:row>
    <x:row r="56">
      <x:c r="A56" s="27" t="str">
        <x:v>TF-107</x:v>
      </x:c>
      <x:c r="B56" s="27" t="str">
        <x:v>v1.0</x:v>
      </x:c>
      <x:c r="C56" s="27" t="str">
        <x:v>Open Source</x:v>
      </x:c>
      <x:c r="D56" s="27" t="str">
        <x:v>Plugin/Extension API design</x:v>
      </x:c>
      <x:c r="E56" s="27" t="str">
        <x:v>Минимальный безопасный extension contract для будущих collectors/analyzers.</x:v>
      </x:c>
      <x:c r="F56" s="27" t="str">
        <x:v>C++/C# contracts</x:v>
      </x:c>
      <x:c r="G56" s="27" t="str">
        <x:v>Низкий</x:v>
      </x:c>
      <x:c r="H56" s="27" t="str">
        <x:v>Не начато</x:v>
      </x:c>
      <x:c r="I56" s="27" t="str">
        <x:v>TF-106</x:v>
      </x:c>
      <x:c r="J56" s="27" t="str">
        <x:v>Extension spec</x:v>
      </x:c>
      <x:c r="K56" s="27" t="str"/>
    </x:row>
    <x:row r="57">
      <x:c r="A57" s="27" t="str">
        <x:v>TF-108</x:v>
      </x:c>
      <x:c r="B57" s="27" t="str">
        <x:v>v1.0</x:v>
      </x:c>
      <x:c r="C57" s="27" t="str">
        <x:v>Quality</x:v>
      </x:c>
      <x:c r="D57" s="27" t="str">
        <x:v>Compatibility matrix</x:v>
      </x:c>
      <x:c r="E57" s="27" t="str">
        <x:v>Проверка поддерживаемых Windows-конфигураций, x64, permission modes.</x:v>
      </x:c>
      <x:c r="F57" s="27" t="str">
        <x:v>Windows test matrix</x:v>
      </x:c>
      <x:c r="G57" s="27" t="str">
        <x:v>Высокий</x:v>
      </x:c>
      <x:c r="H57" s="27" t="str">
        <x:v>Не начато</x:v>
      </x:c>
      <x:c r="I57" s="27" t="str">
        <x:v>TF-103</x:v>
      </x:c>
      <x:c r="J57" s="27" t="str">
        <x:v>Compatibility document</x:v>
      </x:c>
      <x:c r="K57" s="27" t="str"/>
    </x:row>
    <x:row r="58">
      <x:c r="A58" s="27" t="str">
        <x:v>TF-109</x:v>
      </x:c>
      <x:c r="B58" s="27" t="str">
        <x:v>v1.0</x:v>
      </x:c>
      <x:c r="C58" s="27" t="str">
        <x:v>Quality</x:v>
      </x:c>
      <x:c r="D58" s="27" t="str">
        <x:v>Security &amp; privacy review</x:v>
      </x:c>
      <x:c r="E58" s="27" t="str">
        <x:v>Права, dumps, paths, exported reports, AI opt-in, secrets/logs.</x:v>
      </x:c>
      <x:c r="F58" s="27" t="str">
        <x:v>Security review</x:v>
      </x:c>
      <x:c r="G58" s="27" t="str">
        <x:v>Высокий</x:v>
      </x:c>
      <x:c r="H58" s="27" t="str">
        <x:v>Не начато</x:v>
      </x:c>
      <x:c r="I58" s="27" t="str">
        <x:v>TF-103:TF-108</x:v>
      </x:c>
      <x:c r="J58" s="27" t="str">
        <x:v>Release checklist passed</x:v>
      </x:c>
      <x:c r="K58" s="27" t="str"/>
    </x:row>
    <x:row r="59">
      <x:c r="A59" s="27" t="str">
        <x:v>TF-110</x:v>
      </x:c>
      <x:c r="B59" s="27" t="str">
        <x:v>v1.0</x:v>
      </x:c>
      <x:c r="C59" s="27" t="str">
        <x:v>Release</x:v>
      </x:c>
      <x:c r="D59" s="27" t="str">
        <x:v>Public v1.0 release</x:v>
      </x:c>
      <x:c r="E59" s="27" t="str">
        <x:v>Release build, installer, demo video, screenshots, benchmark, landing page.</x:v>
      </x:c>
      <x:c r="F59" s="27" t="str">
        <x:v>GitHub Releases</x:v>
      </x:c>
      <x:c r="G59" s="27" t="str">
        <x:v>Высокий</x:v>
      </x:c>
      <x:c r="H59" s="27" t="str">
        <x:v>Не начато</x:v>
      </x:c>
      <x:c r="I59" s="27" t="str">
        <x:v>TF-100:TF-109</x:v>
      </x:c>
      <x:c r="J59" s="27" t="str">
        <x:v>TraceForge v1.0</x:v>
      </x:c>
      <x:c r="K59" s="27" t="str"/>
    </x:row>
  </x:sheetData>
  <x:conditionalFormatting sqref="A2:K59">
    <x:cfRule type="expression" dxfId="0" priority="1">
      <x:formula>$H2="Готово"</x:formula>
    </x:cfRule>
    <x:cfRule type="expression" dxfId="1" priority="2">
      <x:formula>$H2="В работе"</x:formula>
    </x:cfRule>
    <x:cfRule type="expression" dxfId="2" priority="3">
      <x:formula>$H2="Проверка"</x:formula>
    </x:cfRule>
    <x:cfRule type="expression" dxfId="3" priority="4">
      <x:formula>$H2="Заблокировано"</x:formula>
    </x:cfRule>
    <x:cfRule type="expression" dxfId="4" priority="5">
      <x:formula>$H2="Отложено"</x:formula>
    </x:cfRule>
    <x:cfRule type="expression" dxfId="5" priority="6">
      <x:formula>$H2="Не начато"</x:formula>
    </x:cfRule>
  </x:conditionalFormatting>
  <x:dataValidations count="2">
    <x:dataValidation type="list" sqref="G2:G59">
      <x:formula1>"Высокий,Средний,Низкий"</x:formula1>
    </x:dataValidation>
    <x:dataValidation type="list" sqref="H2:H59">
      <x:formula1>"Не начато,В работе,Проверка,Готово,Заблокировано,Отложено"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1bc38e5faf42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5" hidden="0" customWidth="1"/>
    <x:col min="4" max="4" width="55" hidden="0" customWidth="1"/>
    <x:col min="5" max="5" width="55" hidden="0" customWidth="1"/>
  </x:cols>
  <x:sheetData>
    <x:row r="1">
      <x:c r="A1" s="31" t="str">
        <x:v>Версия</x:v>
      </x:c>
      <x:c r="B1" s="31" t="str">
        <x:v>Название</x:v>
      </x:c>
      <x:c r="C1" s="31" t="str">
        <x:v>Главная цель</x:v>
      </x:c>
      <x:c r="D1" s="31" t="str">
        <x:v>Что входит</x:v>
      </x:c>
      <x:c r="E1" s="31" t="str">
        <x:v>Критерий выхода</x:v>
      </x:c>
    </x:row>
    <x:row r="2">
      <x:c r="A2" s="27" t="str">
        <x:v>v0.1</x:v>
      </x:c>
      <x:c r="B2" s="27" t="str">
        <x:v>Core Monitoring Foundation</x:v>
      </x:c>
      <x:c r="C2" s="27" t="str">
        <x:v>Рабочая архитектура C# UI + C++ Agent и realtime CPU/RAM мониторинг.</x:v>
      </x:c>
      <x:c r="D2" s="27" t="str">
        <x:v>Процессы; CPU; RAM; Details; графики; SQLite; IPC; CI</x:v>
      </x:c>
      <x:c r="E2" s="27" t="str">
        <x:v>Решение стабильно собирается; UI не зависает; Agent переживает ошибки доступа; метрики обновляются.</x:v>
      </x:c>
    </x:row>
    <x:row r="3">
      <x:c r="A3" s="27" t="str">
        <x:v>v0.2</x:v>
      </x:c>
      <x:c r="B3" s="27" t="str">
        <x:v>Process Inspector</x:v>
      </x:c>
      <x:c r="C3" s="27" t="str">
        <x:v>Сделать TraceForge полезным для изучения живого процесса.</x:v>
      </x:c>
      <x:c r="D3" s="27" t="str">
        <x:v>Process tree; threads; DLL/modules; handles/files; network; filters; export snapshot</x:v>
      </x:c>
      <x:c r="E3" s="27" t="str">
        <x:v>Инспектор открывает реальный процесс и корректно обрабатывает недоступные данные.</x:v>
      </x:c>
    </x:row>
    <x:row r="4">
      <x:c r="A4" s="27" t="str">
        <x:v>v0.3</x:v>
      </x:c>
      <x:c r="B4" s="27" t="str">
        <x:v>Crash Diagnostics</x:v>
      </x:c>
      <x:c r="C4" s="27" t="str">
        <x:v>Автоматически собирать факты вокруг падения приложения.</x:v>
      </x:c>
      <x:c r="D4" s="27" t="str">
        <x:v>Abnormal exit; Event Log; MiniDump; exception/module; symbols; diagnostic report</x:v>
      </x:c>
      <x:c r="E4" s="27" t="str">
        <x:v>На тестовом crash TraceForge формирует воспроизводимый отчет и сохраняет артефакты.</x:v>
      </x:c>
    </x:row>
    <x:row r="5">
      <x:c r="A5" s="27" t="str">
        <x:v>v0.4</x:v>
      </x:c>
      <x:c r="B5" s="27" t="str">
        <x:v>Black Box</x:v>
      </x:c>
      <x:c r="C5" s="27" t="str">
        <x:v>Показать последние секунды до crash/hang и найти аномалии.</x:v>
      </x:c>
      <x:c r="D5" s="27" t="str">
        <x:v>Ring buffer; timeline; hang detection; anomaly rules; incident snapshot</x:v>
      </x:c>
      <x:c r="E5" s="27" t="str">
        <x:v>При инциденте доступна последовательность событий до проблемы; overhead измерен.</x:v>
      </x:c>
    </x:row>
    <x:row r="6">
      <x:c r="A6" s="27" t="str">
        <x:v>v0.5</x:v>
      </x:c>
      <x:c r="B6" s="27" t="str">
        <x:v>AI Diagnostics</x:v>
      </x:c>
      <x:c r="C6" s="27" t="str">
        <x:v>Добавить AI поверх надежных диагностических данных.</x:v>
      </x:c>
      <x:c r="D6" s="27" t="str">
        <x:v>Context builder; provider abstraction; Ask TraceForge; grounded explanations; compare sessions; privacy</x:v>
      </x:c>
      <x:c r="E6" s="27" t="str">
        <x:v>AI-ответы опираются на факты отчета; пользователь контролирует отправляемый контекст.</x:v>
      </x:c>
    </x:row>
    <x:row r="7">
      <x:c r="A7" s="27" t="str">
        <x:v>v1.0</x:v>
      </x:c>
      <x:c r="B7" s="27" t="str">
        <x:v>Product &amp; Developer Tool</x:v>
      </x:c>
      <x:c r="C7" s="27" t="str">
        <x:v>Сделать публичный продукт, который можно устанавливать, демонстрировать и использовать.</x:v>
      </x:c>
      <x:c r="D7" s="27" t="str">
        <x:v>Developer mode; startup profiling; budgets; installer; docs; compatibility; public release</x:v>
      </x:c>
      <x:c r="E7" s="27" t="str">
        <x:v>Публичная стабильная сборка, документация, demo, benchmark и воспроизводимая установка.</x:v>
      </x:c>
    </x:row>
  </x:sheetData>
  <x:pageMargins left="0.7" right="0.7" top="0.75" bottom="0.75" header="0.3" footer="0.3"/>
  <x:tableParts count="1">
    <x:tablePart xmlns:r="http://schemas.openxmlformats.org/officeDocument/2006/relationships" r:id="R6309961d1a9c4d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5" hidden="0" customWidth="1"/>
    <x:col min="4" max="4" width="48" hidden="0" customWidth="1"/>
    <x:col min="5" max="5" width="12" hidden="0" customWidth="1"/>
  </x:cols>
  <x:sheetData>
    <x:row r="1">
      <x:c r="A1" s="31" t="str">
        <x:v>Слой</x:v>
      </x:c>
      <x:c r="B1" s="31" t="str">
        <x:v>Технология</x:v>
      </x:c>
      <x:c r="C1" s="31" t="str">
        <x:v>Назначение</x:v>
      </x:c>
      <x:c r="D1" s="31" t="str">
        <x:v>Почему используем</x:v>
      </x:c>
      <x:c r="E1" s="31" t="str">
        <x:v>С версии</x:v>
      </x:c>
    </x:row>
    <x:row r="2">
      <x:c r="A2" s="27" t="str">
        <x:v>UI</x:v>
      </x:c>
      <x:c r="B2" s="27" t="str">
        <x:v>C# + .NET</x:v>
      </x:c>
      <x:c r="C2" s="27" t="str">
        <x:v>Основной desktop-код, MVVM, async, navigation, report UI</x:v>
      </x:c>
      <x:c r="D2" s="27" t="str">
        <x:v>Быстрая разработка современного Windows UI и сильный enterprise/.NET сигнал</x:v>
      </x:c>
      <x:c r="E2" s="27" t="str">
        <x:v>v0.1+</x:v>
      </x:c>
    </x:row>
    <x:row r="3">
      <x:c r="A3" s="27" t="str">
        <x:v>UI framework</x:v>
      </x:c>
      <x:c r="B3" s="27" t="str">
        <x:v>WinUI 3 / Windows App SDK</x:v>
      </x:c>
      <x:c r="C3" s="27" t="str">
        <x:v>Современный Windows интерфейс</x:v>
      </x:c>
      <x:c r="D3" s="27" t="str">
        <x:v>Нативный современный Windows UX</x:v>
      </x:c>
      <x:c r="E3" s="27" t="str">
        <x:v>v0.1+</x:v>
      </x:c>
    </x:row>
    <x:row r="4">
      <x:c r="A4" s="27" t="str">
        <x:v>Core agent</x:v>
      </x:c>
      <x:c r="B4" s="27" t="str">
        <x:v>C++20</x:v>
      </x:c>
      <x:c r="C4" s="27" t="str">
        <x:v>Low-level мониторинг процессов и системных событий</x:v>
      </x:c>
      <x:c r="D4" s="27" t="str">
        <x:v>Системное программирование и контроль производительности</x:v>
      </x:c>
      <x:c r="E4" s="27" t="str">
        <x:v>v0.1+</x:v>
      </x:c>
    </x:row>
    <x:row r="5">
      <x:c r="A5" s="27" t="str">
        <x:v>OS API</x:v>
      </x:c>
      <x:c r="B5" s="27" t="str">
        <x:v>Win32 API</x:v>
      </x:c>
      <x:c r="C5" s="27" t="str">
        <x:v>Processes, threads, modules, timing, permissions</x:v>
      </x:c>
      <x:c r="D5" s="27" t="str">
        <x:v>Прямой доступ к Windows internals</x:v>
      </x:c>
      <x:c r="E5" s="27" t="str">
        <x:v>v0.1+</x:v>
      </x:c>
    </x:row>
    <x:row r="6">
      <x:c r="A6" s="27" t="str">
        <x:v>Process enumeration</x:v>
      </x:c>
      <x:c r="B6" s="27" t="str">
        <x:v>Toolhelp32 / PSAPI</x:v>
      </x:c>
      <x:c r="C6" s="27" t="str">
        <x:v>Список процессов, модули, memory info</x:v>
      </x:c>
      <x:c r="D6" s="27" t="str">
        <x:v>Практичные Windows API для первой версии</x:v>
      </x:c>
      <x:c r="E6" s="27" t="str">
        <x:v>v0.1–v0.2</x:v>
      </x:c>
    </x:row>
    <x:row r="7">
      <x:c r="A7" s="27" t="str">
        <x:v>CPU metrics</x:v>
      </x:c>
      <x:c r="B7" s="27" t="str">
        <x:v>Process times / PDH</x:v>
      </x:c>
      <x:c r="C7" s="27" t="str">
        <x:v>CPU sampling</x:v>
      </x:c>
      <x:c r="D7" s="27" t="str">
        <x:v>Низкий overhead и хорошие системные метрики</x:v>
      </x:c>
      <x:c r="E7" s="27" t="str">
        <x:v>v0.1</x:v>
      </x:c>
    </x:row>
    <x:row r="8">
      <x:c r="A8" s="27" t="str">
        <x:v>Network</x:v>
      </x:c>
      <x:c r="B8" s="27" t="str">
        <x:v>IP Helper API</x:v>
      </x:c>
      <x:c r="C8" s="27" t="str">
        <x:v>TCP/UDP connections per process</x:v>
      </x:c>
      <x:c r="D8" s="27" t="str">
        <x:v>Нативная Windows сетевая диагностика</x:v>
      </x:c>
      <x:c r="E8" s="27" t="str">
        <x:v>v0.2</x:v>
      </x:c>
    </x:row>
    <x:row r="9">
      <x:c r="A9" s="27" t="str">
        <x:v>Crash dumps</x:v>
      </x:c>
      <x:c r="B9" s="27" t="str">
        <x:v>DbgHelp / MiniDumpWriteDump</x:v>
      </x:c>
      <x:c r="C9" s="27" t="str">
        <x:v>MiniDump и symbols</x:v>
      </x:c>
      <x:c r="D9" s="27" t="str">
        <x:v>Основа crash diagnostics</x:v>
      </x:c>
      <x:c r="E9" s="27" t="str">
        <x:v>v0.3+</x:v>
      </x:c>
    </x:row>
    <x:row r="10">
      <x:c r="A10" s="27" t="str">
        <x:v>Windows logs</x:v>
      </x:c>
      <x:c r="B10" s="27" t="str">
        <x:v>Windows Event Log / WER correlation</x:v>
      </x:c>
      <x:c r="C10" s="27" t="str">
        <x:v>Системные crash/error события</x:v>
      </x:c>
      <x:c r="D10" s="27" t="str">
        <x:v>Факты вне самого процесса</x:v>
      </x:c>
      <x:c r="E10" s="27" t="str">
        <x:v>v0.3+</x:v>
      </x:c>
    </x:row>
    <x:row r="11">
      <x:c r="A11" s="27" t="str">
        <x:v>IPC</x:v>
      </x:c>
      <x:c r="B11" s="27" t="str">
        <x:v>Named Pipes</x:v>
      </x:c>
      <x:c r="C11" s="27" t="str">
        <x:v>Связь TraceForge.App ↔ TraceForge.Agent</x:v>
      </x:c>
      <x:c r="D11" s="27" t="str">
        <x:v>Локальный Windows IPC без сетевого сервера</x:v>
      </x:c>
      <x:c r="E11" s="27" t="str">
        <x:v>v0.1+</x:v>
      </x:c>
    </x:row>
    <x:row r="12">
      <x:c r="A12" s="27" t="str">
        <x:v>Serialization</x:v>
      </x:c>
      <x:c r="B12" s="27" t="str">
        <x:v>UTF-8 JSON</x:v>
      </x:c>
      <x:c r="C12" s="27" t="str">
        <x:v>Versioned IPC messages, reports, export</x:v>
      </x:c>
      <x:c r="D12" s="27" t="str">
        <x:v>Прозрачный контракт, удобно отлаживать</x:v>
      </x:c>
      <x:c r="E12" s="27" t="str">
        <x:v>v0.1+</x:v>
      </x:c>
    </x:row>
    <x:row r="13">
      <x:c r="A13" s="27" t="str">
        <x:v>C# JSON</x:v>
      </x:c>
      <x:c r="B13" s="27" t="str">
        <x:v>System.Text.Json</x:v>
      </x:c>
      <x:c r="C13" s="27" t="str">
        <x:v>DTO/IPC/report serialization</x:v>
      </x:c>
      <x:c r="D13" s="27" t="str">
        <x:v>Встроенный .NET serializer</x:v>
      </x:c>
      <x:c r="E13" s="27" t="str">
        <x:v>v0.1+</x:v>
      </x:c>
    </x:row>
    <x:row r="14">
      <x:c r="A14" s="27" t="str">
        <x:v>C++ JSON</x:v>
      </x:c>
      <x:c r="B14" s="27" t="str">
        <x:v>nlohmann/json или аналог</x:v>
      </x:c>
      <x:c r="C14" s="27" t="str">
        <x:v>IPC/report serialization в Agent</x:v>
      </x:c>
      <x:c r="D14" s="27" t="str">
        <x:v>Простой interoperable JSON слой</x:v>
      </x:c>
      <x:c r="E14" s="27" t="str">
        <x:v>v0.1+</x:v>
      </x:c>
    </x:row>
    <x:row r="15">
      <x:c r="A15" s="27" t="str">
        <x:v>Database</x:v>
      </x:c>
      <x:c r="B15" s="27" t="str">
        <x:v>SQLite</x:v>
      </x:c>
      <x:c r="C15" s="27" t="str">
        <x:v>Sessions, samples, incidents, settings</x:v>
      </x:c>
      <x:c r="D15" s="27" t="str">
        <x:v>Локально, переносимо, без сервера</x:v>
      </x:c>
      <x:c r="E15" s="27" t="str">
        <x:v>v0.1+</x:v>
      </x:c>
    </x:row>
    <x:row r="16">
      <x:c r="A16" s="27" t="str">
        <x:v>Testing C#</x:v>
      </x:c>
      <x:c r="B16" s="27" t="str">
        <x:v>xUnit</x:v>
      </x:c>
      <x:c r="C16" s="27" t="str">
        <x:v>Unit/integration tests</x:v>
      </x:c>
      <x:c r="D16" s="27" t="str">
        <x:v>Стандартный .NET testing workflow</x:v>
      </x:c>
      <x:c r="E16" s="27" t="str">
        <x:v>v0.1+</x:v>
      </x:c>
    </x:row>
    <x:row r="17">
      <x:c r="A17" s="27" t="str">
        <x:v>Testing C++</x:v>
      </x:c>
      <x:c r="B17" s="27" t="str">
        <x:v>GoogleTest</x:v>
      </x:c>
      <x:c r="C17" s="27" t="str">
        <x:v>Core/collector tests</x:v>
      </x:c>
      <x:c r="D17" s="27" t="str">
        <x:v>Удобный C++ test framework</x:v>
      </x:c>
      <x:c r="E17" s="27" t="str">
        <x:v>v0.1+</x:v>
      </x:c>
    </x:row>
    <x:row r="18">
      <x:c r="A18" s="27" t="str">
        <x:v>Build</x:v>
      </x:c>
      <x:c r="B18" s="27" t="str">
        <x:v>Visual Studio Solution + CMake для C++ части</x:v>
      </x:c>
      <x:c r="C18" s="27" t="str">
        <x:v>Единая IDE; C++ core можно собирать CMake</x:v>
      </x:c>
      <x:c r="D18" s="27" t="str">
        <x:v>Удобно для mixed C#/C++ проекта</x:v>
      </x:c>
      <x:c r="E18" s="27" t="str">
        <x:v>v0.1+</x:v>
      </x:c>
    </x:row>
    <x:row r="19">
      <x:c r="A19" s="27" t="str">
        <x:v>CI</x:v>
      </x:c>
      <x:c r="B19" s="27" t="str">
        <x:v>GitHub Actions (Windows runner)</x:v>
      </x:c>
      <x:c r="C19" s="27" t="str">
        <x:v>Build/test/release automation</x:v>
      </x:c>
      <x:c r="D19" s="27" t="str">
        <x:v>Публичный инженерный сигнал для компаний</x:v>
      </x:c>
      <x:c r="E19" s="27" t="str">
        <x:v>v0.1+</x:v>
      </x:c>
    </x:row>
    <x:row r="20">
      <x:c r="A20" s="27" t="str">
        <x:v>AI layer</x:v>
      </x:c>
      <x:c r="B20" s="27" t="str">
        <x:v>Provider abstraction</x:v>
      </x:c>
      <x:c r="C20" s="27" t="str">
        <x:v>Remote/local LLM adapters</x:v>
      </x:c>
      <x:c r="D20" s="27" t="str">
        <x:v>Нет жесткой привязки к одному провайдеру</x:v>
      </x:c>
      <x:c r="E20" s="27" t="str">
        <x:v>v0.5+</x:v>
      </x:c>
    </x:row>
    <x:row r="21">
      <x:c r="A21" s="27" t="str">
        <x:v>Packaging</x:v>
      </x:c>
      <x:c r="B21" s="27" t="str">
        <x:v>Windows packaging / installer</x:v>
      </x:c>
      <x:c r="C21" s="27" t="str">
        <x:v>Install/upgrade/uninstall</x:v>
      </x:c>
      <x:c r="D21" s="27" t="str">
        <x:v>Нужен для продукта, а не только репозитория</x:v>
      </x:c>
      <x:c r="E21" s="27" t="str">
        <x:v>v1.0</x:v>
      </x:c>
    </x:row>
  </x:sheetData>
  <x:pageMargins left="0.7" right="0.7" top="0.75" bottom="0.75" header="0.3" footer="0.3"/>
  <x:tableParts count="1">
    <x:tablePart xmlns:r="http://schemas.openxmlformats.org/officeDocument/2006/relationships" r:id="Reb8fbdd6c6314c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55" hidden="0" customWidth="1"/>
    <x:col min="4" max="4" width="35" hidden="0" customWidth="1"/>
  </x:cols>
  <x:sheetData>
    <x:row r="1">
      <x:c r="A1" s="31" t="str">
        <x:v>Компонент</x:v>
      </x:c>
      <x:c r="B1" s="31" t="str">
        <x:v>Стек</x:v>
      </x:c>
      <x:c r="C1" s="31" t="str">
        <x:v>Ответственность</x:v>
      </x:c>
      <x:c r="D1" s="31" t="str">
        <x:v>Связи</x:v>
      </x:c>
    </x:row>
    <x:row r="2">
      <x:c r="A2" s="27" t="str">
        <x:v>TraceForge.App</x:v>
      </x:c>
      <x:c r="B2" s="27" t="str">
        <x:v>C# / WinUI 3</x:v>
      </x:c>
      <x:c r="C2" s="27" t="str">
        <x:v>Dashboard, Process Inspector, Charts, Crash Reports, Settings, Ask TraceForge</x:v>
      </x:c>
      <x:c r="D2" s="27" t="str">
        <x:v>Named Pipes → Agent; SQLite → Data</x:v>
      </x:c>
    </x:row>
    <x:row r="3">
      <x:c r="A3" s="27" t="str">
        <x:v>TraceForge.Application</x:v>
      </x:c>
      <x:c r="B3" s="27" t="str">
        <x:v>C#</x:v>
      </x:c>
      <x:c r="C3" s="27" t="str">
        <x:v>Use cases, orchestration, view models/services boundaries</x:v>
      </x:c>
      <x:c r="D3" s="27" t="str">
        <x:v>App ↔ Data/IPC/AI</x:v>
      </x:c>
    </x:row>
    <x:row r="4">
      <x:c r="A4" s="27" t="str">
        <x:v>TraceForge.Data</x:v>
      </x:c>
      <x:c r="B4" s="27" t="str">
        <x:v>C# / SQLite</x:v>
      </x:c>
      <x:c r="C4" s="27" t="str">
        <x:v>Sessions, samples, incidents, retention, queries</x:v>
      </x:c>
      <x:c r="D4" s="27" t="str">
        <x:v>SQLite</x:v>
      </x:c>
    </x:row>
    <x:row r="5">
      <x:c r="A5" s="27" t="str">
        <x:v>TraceForge.Agent</x:v>
      </x:c>
      <x:c r="B5" s="27" t="str">
        <x:v>C++20</x:v>
      </x:c>
      <x:c r="C5" s="27" t="str">
        <x:v>Collectors, process inspection, Black Box, crash/hang detection</x:v>
      </x:c>
      <x:c r="D5" s="27" t="str">
        <x:v>Win32 APIs; Named Pipes</x:v>
      </x:c>
    </x:row>
    <x:row r="6">
      <x:c r="A6" s="27" t="str">
        <x:v>Collectors</x:v>
      </x:c>
      <x:c r="B6" s="27" t="str">
        <x:v>C++</x:v>
      </x:c>
      <x:c r="C6" s="27" t="str">
        <x:v>CPU/RAM/process/thread/module/network sampling</x:v>
      </x:c>
      <x:c r="D6" s="27" t="str">
        <x:v>Windows APIs</x:v>
      </x:c>
    </x:row>
    <x:row r="7">
      <x:c r="A7" s="27" t="str">
        <x:v>Incident Engine</x:v>
      </x:c>
      <x:c r="B7" s="27" t="str">
        <x:v>C++</x:v>
      </x:c>
      <x:c r="C7" s="27" t="str">
        <x:v>Crash/hang detection, ring buffer freeze, anomaly rules</x:v>
      </x:c>
      <x:c r="D7" s="27" t="str">
        <x:v>Collectors + DbgHelp/Event Log</x:v>
      </x:c>
    </x:row>
    <x:row r="8">
      <x:c r="A8" s="27" t="str">
        <x:v>Report Builder</x:v>
      </x:c>
      <x:c r="B8" s="27" t="str">
        <x:v>C#</x:v>
      </x:c>
      <x:c r="C8" s="27" t="str">
        <x:v>JSON/HTML diagnostic reports and exports</x:v>
      </x:c>
      <x:c r="D8" s="27" t="str">
        <x:v>Data + incident artifacts</x:v>
      </x:c>
    </x:row>
    <x:row r="9">
      <x:c r="A9" s="27" t="str">
        <x:v>AI Diagnostics</x:v>
      </x:c>
      <x:c r="B9" s="27" t="str">
        <x:v>C#</x:v>
      </x:c>
      <x:c r="C9" s="27" t="str">
        <x:v>Context Builder, Provider abstraction, grounded answers</x:v>
      </x:c>
      <x:c r="D9" s="27" t="str">
        <x:v>Reports/timeline only</x:v>
      </x:c>
    </x:row>
    <x:row r="10">
      <x:c r="A10" s="27" t="str">
        <x:v>Target Process</x:v>
      </x:c>
      <x:c r="B10" s="27" t="str">
        <x:v>External .exe</x:v>
      </x:c>
      <x:c r="C10" s="27" t="str">
        <x:v>Приложение, которое пользователь наблюдает</x:v>
      </x:c>
      <x:c r="D10" s="27" t="str">
        <x:v>Observed by Agent</x:v>
      </x:c>
    </x:row>
  </x:sheetData>
  <x:pageMargins left="0.7" right="0.7" top="0.75" bottom="0.75" header="0.3" footer="0.3"/>
  <x:tableParts count="1">
    <x:tablePart xmlns:r="http://schemas.openxmlformats.org/officeDocument/2006/relationships" r:id="R7387555891d2478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42" hidden="0" customWidth="1"/>
    <x:col min="5" max="5" width="16" hidden="0" customWidth="1"/>
    <x:col min="6" max="6" width="38" hidden="0" customWidth="1"/>
    <x:col min="7" max="7" width="22" hidden="0" customWidth="1"/>
    <x:col min="8" max="8" width="38" hidden="0" customWidth="1"/>
    <x:col min="9" max="9" width="38" hidden="0" customWidth="1"/>
  </x:cols>
  <x:sheetData>
    <x:row r="1">
      <x:c r="A1" s="31" t="str">
        <x:v>Дата</x:v>
      </x:c>
      <x:c r="B1" s="31" t="str">
        <x:v>Версия</x:v>
      </x:c>
      <x:c r="C1" s="31" t="str">
        <x:v>Task ID</x:v>
      </x:c>
      <x:c r="D1" s="31" t="str">
        <x:v>Что изменили</x:v>
      </x:c>
      <x:c r="E1" s="31" t="str">
        <x:v>Статус</x:v>
      </x:c>
      <x:c r="F1" s="31" t="str">
        <x:v>Результат</x:v>
      </x:c>
      <x:c r="G1" s="31" t="str">
        <x:v>Commit / PR</x:v>
      </x:c>
      <x:c r="H1" s="31" t="str">
        <x:v>Проблемы / ошибки</x:v>
      </x:c>
      <x:c r="I1" s="31" t="str">
        <x:v>Следующий шаг</x:v>
      </x:c>
    </x:row>
    <x:row r="2">
      <x:c r="A2" s="27" t="str"/>
      <x:c r="B2" s="27" t="str"/>
      <x:c r="C2" s="27" t="str"/>
      <x:c r="D2" s="27" t="str"/>
      <x:c r="E2" s="27" t="str"/>
      <x:c r="F2" s="27" t="str"/>
      <x:c r="G2" s="27" t="str"/>
      <x:c r="H2" s="27" t="str"/>
      <x:c r="I2" s="27" t="str"/>
    </x:row>
    <x:row r="3">
      <x:c r="A3" s="27" t="str"/>
      <x:c r="B3" s="27" t="str"/>
      <x:c r="C3" s="27" t="str"/>
      <x:c r="D3" s="27" t="str"/>
      <x:c r="E3" s="27" t="str"/>
      <x:c r="F3" s="27" t="str"/>
      <x:c r="G3" s="27" t="str"/>
      <x:c r="H3" s="27" t="str"/>
      <x:c r="I3" s="27" t="str"/>
    </x:row>
    <x:row r="4">
      <x:c r="A4" s="27" t="str"/>
      <x:c r="B4" s="27" t="str"/>
      <x:c r="C4" s="27" t="str"/>
      <x:c r="D4" s="27" t="str"/>
      <x:c r="E4" s="27" t="str"/>
      <x:c r="F4" s="27" t="str"/>
      <x:c r="G4" s="27" t="str"/>
      <x:c r="H4" s="27" t="str"/>
      <x:c r="I4" s="27" t="str"/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</x:row>
  </x:sheetData>
  <x:conditionalFormatting sqref="A2:I31">
    <x:cfRule type="expression" dxfId="6" priority="1">
      <x:formula>$E2="Готово"</x:formula>
    </x:cfRule>
    <x:cfRule type="expression" dxfId="7" priority="2">
      <x:formula>$E2="В работе"</x:formula>
    </x:cfRule>
    <x:cfRule type="expression" dxfId="8" priority="3">
      <x:formula>$E2="Проверка"</x:formula>
    </x:cfRule>
    <x:cfRule type="expression" dxfId="9" priority="4">
      <x:formula>$E2="Заблокировано"</x:formula>
    </x:cfRule>
    <x:cfRule type="expression" dxfId="10" priority="5">
      <x:formula>$E2="Отложено"</x:formula>
    </x:cfRule>
  </x:conditionalFormatting>
  <x:dataValidations count="1">
    <x:dataValidation type="list" sqref="E2:E31">
      <x:formula1>"В работе,Проверка,Готово,Заблокировано,Отложено"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8847fdd0eb4a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40" hidden="0" customWidth="1"/>
    <x:col min="5" max="5" width="12" hidden="0" customWidth="1"/>
    <x:col min="6" max="6" width="16" hidden="0" customWidth="1"/>
    <x:col min="7" max="7" width="16" hidden="0" customWidth="1"/>
    <x:col min="8" max="8" width="35" hidden="0" customWidth="1"/>
  </x:cols>
  <x:sheetData>
    <x:row r="1">
      <x:c r="A1" s="31" t="str">
        <x:v>ID</x:v>
      </x:c>
      <x:c r="B1" s="31" t="str">
        <x:v>Идея</x:v>
      </x:c>
      <x:c r="C1" s="31" t="str">
        <x:v>Категория</x:v>
      </x:c>
      <x:c r="D1" s="31" t="str">
        <x:v>Ценность</x:v>
      </x:c>
      <x:c r="E1" s="31" t="str">
        <x:v>Приоритет</x:v>
      </x:c>
      <x:c r="F1" s="31" t="str">
        <x:v>Целевая версия</x:v>
      </x:c>
      <x:c r="G1" s="31" t="str">
        <x:v>Статус</x:v>
      </x:c>
      <x:c r="H1" s="31" t="str">
        <x:v>Заметки</x:v>
      </x:c>
    </x:row>
    <x:row r="2">
      <x:c r="A2" s="27" t="str">
        <x:v>B-001</x:v>
      </x:c>
      <x:c r="B2" s="27" t="str">
        <x:v>CLI/headless режим для CI</x:v>
      </x:c>
      <x:c r="C2" s="27" t="str">
        <x:v>Developer Tool</x:v>
      </x:c>
      <x:c r="D2" s="27" t="str">
        <x:v>Автоматическая диагностика и regression checks</x:v>
      </x:c>
      <x:c r="E2" s="27" t="str">
        <x:v>Средний</x:v>
      </x:c>
      <x:c r="F2" s="27" t="str">
        <x:v>После v1.0</x:v>
      </x:c>
      <x:c r="G2" s="27" t="str">
        <x:v>Идея</x:v>
      </x:c>
      <x:c r="H2" s="27" t="str"/>
    </x:row>
    <x:row r="3">
      <x:c r="A3" s="27" t="str">
        <x:v>B-002</x:v>
      </x:c>
      <x:c r="B3" s="27" t="str">
        <x:v>ETW collector для глубоких системных событий</x:v>
      </x:c>
      <x:c r="C3" s="27" t="str">
        <x:v>Core</x:v>
      </x:c>
      <x:c r="D3" s="27" t="str">
        <x:v>Более глубокая observability</x:v>
      </x:c>
      <x:c r="E3" s="27" t="str">
        <x:v>Средний</x:v>
      </x:c>
      <x:c r="F3" s="27" t="str">
        <x:v>После v0.4</x:v>
      </x:c>
      <x:c r="G3" s="27" t="str">
        <x:v>Идея</x:v>
      </x:c>
      <x:c r="H3" s="27" t="str"/>
    </x:row>
    <x:row r="4">
      <x:c r="A4" s="27" t="str">
        <x:v>B-003</x:v>
      </x:c>
      <x:c r="B4" s="27" t="str">
        <x:v>Плагинная система collectors/analyzers</x:v>
      </x:c>
      <x:c r="C4" s="27" t="str">
        <x:v>Extensions</x:v>
      </x:c>
      <x:c r="D4" s="27" t="str">
        <x:v>Экосистема и сторонние расширения</x:v>
      </x:c>
      <x:c r="E4" s="27" t="str">
        <x:v>Низкий</x:v>
      </x:c>
      <x:c r="F4" s="27" t="str">
        <x:v>v1.0+</x:v>
      </x:c>
      <x:c r="G4" s="27" t="str">
        <x:v>Идея</x:v>
      </x:c>
      <x:c r="H4" s="27" t="str"/>
    </x:row>
    <x:row r="5">
      <x:c r="A5" s="27" t="str">
        <x:v>B-004</x:v>
      </x:c>
      <x:c r="B5" s="27" t="str">
        <x:v>Сравнение N сборок по benchmark history</x:v>
      </x:c>
      <x:c r="C5" s="27" t="str">
        <x:v>Analytics</x:v>
      </x:c>
      <x:c r="D5" s="27" t="str">
        <x:v>Регрессионный анализ</x:v>
      </x:c>
      <x:c r="E5" s="27" t="str">
        <x:v>Средний</x:v>
      </x:c>
      <x:c r="F5" s="27" t="str">
        <x:v>v1.0+</x:v>
      </x:c>
      <x:c r="G5" s="27" t="str">
        <x:v>Идея</x:v>
      </x:c>
      <x:c r="H5" s="27" t="str"/>
    </x:row>
    <x:row r="6">
      <x:c r="A6" s="27" t="str">
        <x:v>B-005</x:v>
      </x:c>
      <x:c r="B6" s="27" t="str">
        <x:v>Локальный AI-модель adapter</x:v>
      </x:c>
      <x:c r="C6" s="27" t="str">
        <x:v>AI/Privacy</x:v>
      </x:c>
      <x:c r="D6" s="27" t="str">
        <x:v>Полностью локальные объяснения</x:v>
      </x:c>
      <x:c r="E6" s="27" t="str">
        <x:v>Средний</x:v>
      </x:c>
      <x:c r="F6" s="27" t="str">
        <x:v>v0.5+</x:v>
      </x:c>
      <x:c r="G6" s="27" t="str">
        <x:v>Идея</x:v>
      </x:c>
      <x:c r="H6" s="27" t="str"/>
    </x:row>
  </x:sheetData>
  <x:dataValidations count="2">
    <x:dataValidation type="list" sqref="E2:E6">
      <x:formula1>"Высокий,Средний,Низкий"</x:formula1>
    </x:dataValidation>
    <x:dataValidation type="list" sqref="G2:G6">
      <x:formula1>"Идея,Запланировано,В работе,Готово,Отклонено"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fb351e87084c22"/>
  </x:tableParts>
</x:worksheet>
</file>